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01. DATA RIZAL\Rizal_2025\3. Lain-lain\b. Materi n PPT\c. Materi Mangrove\Rehabilitasi Mangrove 2025\1. Rehabilitasi Mangrove_Alor\"/>
    </mc:Choice>
  </mc:AlternateContent>
  <xr:revisionPtr revIDLastSave="0" documentId="13_ncr:1_{078BB2CF-7445-4F33-B8BF-E8D37C61A60A}" xr6:coauthVersionLast="47" xr6:coauthVersionMax="47" xr10:uidLastSave="{00000000-0000-0000-0000-000000000000}"/>
  <bookViews>
    <workbookView xWindow="760" yWindow="120" windowWidth="14510" windowHeight="10680" activeTab="1" xr2:uid="{00000000-000D-0000-FFFF-FFFF00000000}"/>
  </bookViews>
  <sheets>
    <sheet name="RAB 0,5x1_Lst" sheetId="21" r:id="rId1"/>
    <sheet name="Cek BAST KPB" sheetId="22" r:id="rId2"/>
    <sheet name="RAB 0,5x1 (2)" sheetId="20" r:id="rId3"/>
    <sheet name=" RAB 0,5x1 Awal" sheetId="9" r:id="rId4"/>
    <sheet name="Luasan Area Rehab" sheetId="14" r:id="rId5"/>
    <sheet name="RAB 0,5x1 Awl" sheetId="13" r:id="rId6"/>
    <sheet name="RAB 3x1 tanpa pajak" sheetId="11" r:id="rId7"/>
    <sheet name="Desain Pennmn" sheetId="10" r:id="rId8"/>
    <sheet name="AHS Bibit" sheetId="7" r:id="rId9"/>
    <sheet name="AHS Sarpras" sheetId="8" r:id="rId10"/>
    <sheet name="AHS Pekerjaan" sheetId="19" r:id="rId11"/>
    <sheet name="Waktu Pelaksanaan" sheetId="18" r:id="rId12"/>
    <sheet name="Satuan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65" i="22" l="1"/>
  <c r="K20" i="22"/>
  <c r="G23" i="22"/>
  <c r="G22" i="22"/>
  <c r="G21" i="22"/>
  <c r="G20" i="22"/>
  <c r="G24" i="22" s="1"/>
  <c r="G15" i="22"/>
  <c r="G14" i="22"/>
  <c r="G16" i="22" s="1"/>
  <c r="K13" i="22"/>
  <c r="G13" i="22"/>
  <c r="K9" i="22"/>
  <c r="G9" i="22"/>
  <c r="G8" i="22"/>
  <c r="G10" i="22" s="1"/>
  <c r="K165" i="21"/>
  <c r="I24" i="21"/>
  <c r="K14" i="21"/>
  <c r="J14" i="21"/>
  <c r="G163" i="22" l="1"/>
  <c r="K8" i="22"/>
  <c r="K14" i="22"/>
  <c r="I165" i="21"/>
  <c r="I163" i="21"/>
  <c r="K163" i="22" l="1"/>
  <c r="G24" i="21"/>
  <c r="G21" i="21"/>
  <c r="G20" i="21"/>
  <c r="G15" i="21" l="1"/>
  <c r="D23" i="14" l="1"/>
  <c r="G18" i="14"/>
  <c r="G21" i="14" s="1"/>
  <c r="G17" i="14"/>
  <c r="G20" i="14"/>
  <c r="G19" i="14"/>
  <c r="K171" i="21" l="1"/>
  <c r="K170" i="21"/>
  <c r="K169" i="21"/>
  <c r="H6" i="12" l="1"/>
  <c r="H5" i="12"/>
  <c r="G5" i="12"/>
  <c r="G168" i="9"/>
  <c r="J24" i="21"/>
  <c r="J23" i="21"/>
  <c r="J22" i="21"/>
  <c r="J21" i="21"/>
  <c r="J20" i="21"/>
  <c r="N12" i="21" l="1"/>
  <c r="L12" i="21"/>
  <c r="I15" i="21"/>
  <c r="L15" i="21" s="1"/>
  <c r="K10" i="21"/>
  <c r="J10" i="21"/>
  <c r="I10" i="21"/>
  <c r="K12" i="21"/>
  <c r="J12" i="21"/>
  <c r="I12" i="21"/>
  <c r="L9" i="21"/>
  <c r="L11" i="21"/>
  <c r="L13" i="21"/>
  <c r="L14" i="21"/>
  <c r="L16" i="21"/>
  <c r="L17" i="21"/>
  <c r="L8" i="21"/>
  <c r="J8" i="21"/>
  <c r="I8" i="21"/>
  <c r="L10" i="21" l="1"/>
  <c r="G13" i="21"/>
  <c r="G9" i="21"/>
  <c r="P23" i="21" l="1"/>
  <c r="G23" i="21"/>
  <c r="G22" i="21"/>
  <c r="G14" i="21"/>
  <c r="G8" i="21"/>
  <c r="F6" i="14"/>
  <c r="M24" i="20"/>
  <c r="J13" i="14"/>
  <c r="G24" i="20"/>
  <c r="G23" i="20"/>
  <c r="G22" i="20"/>
  <c r="F164" i="11"/>
  <c r="G6" i="12"/>
  <c r="G9" i="20"/>
  <c r="G13" i="20"/>
  <c r="G15" i="20"/>
  <c r="G14" i="20"/>
  <c r="G8" i="20"/>
  <c r="G10" i="20" s="1"/>
  <c r="G8" i="9"/>
  <c r="F8" i="9"/>
  <c r="F7" i="9"/>
  <c r="G9" i="9"/>
  <c r="G19" i="9"/>
  <c r="C8" i="8"/>
  <c r="L13" i="14"/>
  <c r="L14" i="14" s="1"/>
  <c r="J5" i="14"/>
  <c r="F25" i="9"/>
  <c r="F26" i="9"/>
  <c r="F8" i="8"/>
  <c r="F18" i="9"/>
  <c r="H4" i="14"/>
  <c r="L21" i="9"/>
  <c r="L20" i="9"/>
  <c r="K20" i="9"/>
  <c r="G16" i="21" l="1"/>
  <c r="G10" i="21"/>
  <c r="G25" i="20"/>
  <c r="G16" i="20"/>
  <c r="G17" i="20" s="1"/>
  <c r="G18" i="20" s="1"/>
  <c r="G163" i="21" l="1"/>
  <c r="G164" i="20"/>
  <c r="F6" i="7" l="1"/>
  <c r="Y6" i="14"/>
  <c r="V6" i="14"/>
  <c r="U6" i="14"/>
  <c r="Y13" i="14"/>
  <c r="V13" i="14"/>
  <c r="U13" i="14"/>
  <c r="W13" i="14" s="1"/>
  <c r="T13" i="14"/>
  <c r="Y12" i="14"/>
  <c r="V12" i="14"/>
  <c r="U12" i="14"/>
  <c r="T12" i="14"/>
  <c r="Y11" i="14"/>
  <c r="V11" i="14"/>
  <c r="U11" i="14"/>
  <c r="W11" i="14" s="1"/>
  <c r="T11" i="14"/>
  <c r="Y10" i="14"/>
  <c r="V10" i="14"/>
  <c r="U10" i="14"/>
  <c r="T10" i="14"/>
  <c r="Y8" i="14"/>
  <c r="V8" i="14"/>
  <c r="U8" i="14"/>
  <c r="W8" i="14" s="1"/>
  <c r="Y7" i="14"/>
  <c r="V7" i="14"/>
  <c r="U7" i="14"/>
  <c r="W7" i="14" s="1"/>
  <c r="Y5" i="14"/>
  <c r="V5" i="14"/>
  <c r="U5" i="14"/>
  <c r="F16" i="9"/>
  <c r="F17" i="9"/>
  <c r="F14" i="9"/>
  <c r="F8" i="13"/>
  <c r="F7" i="11"/>
  <c r="W12" i="14" l="1"/>
  <c r="W6" i="14"/>
  <c r="W10" i="14"/>
  <c r="W5" i="14"/>
  <c r="Y9" i="14"/>
  <c r="F15" i="9"/>
  <c r="D10" i="14"/>
  <c r="F26" i="13"/>
  <c r="F27" i="13" s="1"/>
  <c r="F166" i="13" s="1"/>
  <c r="G166" i="13" s="1"/>
  <c r="J25" i="13"/>
  <c r="F25" i="13"/>
  <c r="J24" i="13"/>
  <c r="F24" i="13"/>
  <c r="J23" i="13"/>
  <c r="F23" i="13"/>
  <c r="N17" i="13"/>
  <c r="F16" i="13"/>
  <c r="F15" i="13"/>
  <c r="F17" i="13" s="1"/>
  <c r="F18" i="13" s="1"/>
  <c r="F19" i="13" s="1"/>
  <c r="F14" i="13"/>
  <c r="F13" i="13"/>
  <c r="F12" i="13"/>
  <c r="F11" i="13"/>
  <c r="J7" i="13"/>
  <c r="F7" i="13"/>
  <c r="F6" i="13"/>
  <c r="J5" i="13"/>
  <c r="F9" i="9" l="1"/>
  <c r="C30" i="8"/>
  <c r="F30" i="8" s="1"/>
  <c r="F31" i="8" s="1"/>
  <c r="F27" i="9"/>
  <c r="F28" i="9"/>
  <c r="F13" i="9"/>
  <c r="H18" i="11"/>
  <c r="H22" i="11" s="1"/>
  <c r="H19" i="11"/>
  <c r="H20" i="11"/>
  <c r="H21" i="11"/>
  <c r="E5" i="10"/>
  <c r="C18" i="10"/>
  <c r="F25" i="10"/>
  <c r="I18" i="10"/>
  <c r="R18" i="10"/>
  <c r="R25" i="10"/>
  <c r="O8" i="10"/>
  <c r="Q2" i="10"/>
  <c r="Q14" i="10"/>
  <c r="F2" i="10"/>
  <c r="F21" i="11"/>
  <c r="J20" i="11"/>
  <c r="F20" i="11"/>
  <c r="F19" i="11"/>
  <c r="F18" i="11"/>
  <c r="F22" i="11" s="1"/>
  <c r="F161" i="11" s="1"/>
  <c r="G161" i="11" s="1"/>
  <c r="N14" i="11"/>
  <c r="F13" i="11"/>
  <c r="F12" i="11"/>
  <c r="F11" i="11"/>
  <c r="D6" i="11"/>
  <c r="D10" i="11"/>
  <c r="F10" i="11"/>
  <c r="F14" i="11"/>
  <c r="J5" i="11"/>
  <c r="J6" i="11" s="1"/>
  <c r="F6" i="11"/>
  <c r="J18" i="11"/>
  <c r="J19" i="11"/>
  <c r="C21" i="8"/>
  <c r="F21" i="8" s="1"/>
  <c r="C20" i="8"/>
  <c r="F20" i="8" s="1"/>
  <c r="C6" i="8"/>
  <c r="F6" i="8" s="1"/>
  <c r="C18" i="8"/>
  <c r="F18" i="8" s="1"/>
  <c r="C9" i="8"/>
  <c r="F9" i="8" s="1"/>
  <c r="F8" i="7"/>
  <c r="F9" i="7" s="1"/>
  <c r="F22" i="8" l="1"/>
  <c r="F23" i="8" s="1"/>
  <c r="F24" i="8" s="1"/>
  <c r="F10" i="8"/>
  <c r="F11" i="8" s="1"/>
  <c r="F12" i="8" s="1"/>
  <c r="F29" i="9"/>
  <c r="F12" i="9"/>
  <c r="F19" i="9" l="1"/>
  <c r="F20" i="9" s="1"/>
  <c r="F21" i="9" s="1"/>
  <c r="F168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Putra Malik Akbar</author>
  </authors>
  <commentList>
    <comment ref="E14" authorId="0" shapeId="0" xr:uid="{2F0AAEE0-087A-4671-8115-CB80B60F9F8D}">
      <text>
        <r>
          <rPr>
            <b/>
            <sz val="9"/>
            <color indexed="81"/>
            <rFont val="Tahoma"/>
            <family val="2"/>
          </rPr>
          <t>Putra Malik Akbar:</t>
        </r>
        <r>
          <rPr>
            <sz val="9"/>
            <color indexed="81"/>
            <rFont val="Tahoma"/>
            <family val="2"/>
          </rPr>
          <t xml:space="preserve">
CEK HARGA TOKO
</t>
        </r>
      </text>
    </comment>
    <comment ref="E16" authorId="0" shapeId="0" xr:uid="{AA5E3055-FEE6-410C-A4BF-57DFAF4684A0}">
      <text>
        <r>
          <rPr>
            <b/>
            <sz val="9"/>
            <color indexed="81"/>
            <rFont val="Tahoma"/>
            <family val="2"/>
          </rPr>
          <t>Putra Malik Akbar:</t>
        </r>
        <r>
          <rPr>
            <sz val="9"/>
            <color indexed="81"/>
            <rFont val="Tahoma"/>
            <family val="2"/>
          </rPr>
          <t xml:space="preserve">
CEK HARGA TOKO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Putra Malik Akbar</author>
  </authors>
  <commentList>
    <comment ref="E1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Putra Malik Akbar:</t>
        </r>
        <r>
          <rPr>
            <sz val="9"/>
            <color indexed="81"/>
            <rFont val="Tahoma"/>
            <family val="2"/>
          </rPr>
          <t xml:space="preserve">
CEK HARGA TOKO
</t>
        </r>
      </text>
    </comment>
  </commentList>
</comments>
</file>

<file path=xl/sharedStrings.xml><?xml version="1.0" encoding="utf-8"?>
<sst xmlns="http://schemas.openxmlformats.org/spreadsheetml/2006/main" count="607" uniqueCount="169">
  <si>
    <t>Rincian Anggaran Biaya (RAB)</t>
  </si>
  <si>
    <t>Luas</t>
  </si>
  <si>
    <t>1. Pengadaan Bibit</t>
  </si>
  <si>
    <t>No</t>
  </si>
  <si>
    <t>Kegiatan</t>
  </si>
  <si>
    <t>Satuan</t>
  </si>
  <si>
    <t>Volume</t>
  </si>
  <si>
    <t xml:space="preserve">Harga Satuan </t>
  </si>
  <si>
    <t>Nilai</t>
  </si>
  <si>
    <t>Batang</t>
  </si>
  <si>
    <t>Jumlah</t>
  </si>
  <si>
    <t>2. Pengadaan Sarana Penanaman</t>
  </si>
  <si>
    <t xml:space="preserve">Ajir </t>
  </si>
  <si>
    <t>Pengadaan Papan Informasi Program (1x2 m)</t>
  </si>
  <si>
    <t>Paket</t>
  </si>
  <si>
    <t>3. Pekerjaan Penanaman</t>
  </si>
  <si>
    <t>Harga Satuan Upah /Hari</t>
  </si>
  <si>
    <t>A.</t>
  </si>
  <si>
    <t>Persiapan lahan</t>
  </si>
  <si>
    <t>HOK</t>
  </si>
  <si>
    <t>B.</t>
  </si>
  <si>
    <t xml:space="preserve">Penanaman </t>
  </si>
  <si>
    <t>C.</t>
  </si>
  <si>
    <t>PEKERJAAN PENANAMAN</t>
  </si>
  <si>
    <t>Jumlah Orang</t>
  </si>
  <si>
    <t>Pemasangan Larikan (1 hari)</t>
  </si>
  <si>
    <t>Pemasangan Ajir (2 hari)</t>
  </si>
  <si>
    <t>Pemasangan Pagar Pelindung (1 hari)</t>
  </si>
  <si>
    <t>Evaluasi dan Perbaikan Penanaman</t>
  </si>
  <si>
    <t>TOTAL</t>
  </si>
  <si>
    <t>Kg</t>
  </si>
  <si>
    <r>
      <t xml:space="preserve">Penanaman Bibit </t>
    </r>
    <r>
      <rPr>
        <i/>
        <sz val="12"/>
        <color theme="1"/>
        <rFont val="Arial"/>
        <family val="2"/>
      </rPr>
      <t xml:space="preserve">R. mucronata  </t>
    </r>
    <r>
      <rPr>
        <sz val="12"/>
        <color theme="1"/>
        <rFont val="Arial"/>
        <family val="2"/>
      </rPr>
      <t>(3 hari)</t>
    </r>
  </si>
  <si>
    <t>Total</t>
  </si>
  <si>
    <t>Pengadaan Ajir P (150 cm) L (2-3 cm)</t>
  </si>
  <si>
    <t xml:space="preserve"> O.H </t>
  </si>
  <si>
    <t>Tukang</t>
  </si>
  <si>
    <t xml:space="preserve"> Jumlah Total </t>
  </si>
  <si>
    <t>Cat Kayu 1 Kg</t>
  </si>
  <si>
    <t>Koefisien</t>
  </si>
  <si>
    <t>Harga Satuan</t>
  </si>
  <si>
    <t>Upah</t>
  </si>
  <si>
    <t>Item</t>
  </si>
  <si>
    <t>Bahan</t>
  </si>
  <si>
    <t>Pekerjaan Pembuatan Bambu Ajir</t>
  </si>
  <si>
    <t>Pekerjaan Pengadaan Bibit</t>
  </si>
  <si>
    <t>Pengangkutan dari Lokasi Kelompok ke Lokasi Tanam</t>
  </si>
  <si>
    <t>Biaya</t>
  </si>
  <si>
    <t>Keterangan</t>
  </si>
  <si>
    <t>Angkutan menggunakan Perahu</t>
  </si>
  <si>
    <t>Bibit Mangrove</t>
  </si>
  <si>
    <t>Pekerjaan Pengadaan Tali Rafia</t>
  </si>
  <si>
    <t>Tali Rafia 1 Kg</t>
  </si>
  <si>
    <t>Jumlah Bibit</t>
  </si>
  <si>
    <t>Pengadaan Tali Pengikat Ajir</t>
  </si>
  <si>
    <t>PPN 11%</t>
  </si>
  <si>
    <t>Pemasangan Ajir</t>
  </si>
  <si>
    <t>Pajak 1,5%</t>
  </si>
  <si>
    <t>Pekerjaan Rehabilitasi Ekosistem Pesisir Penanaman Mangrove TA. 2023</t>
  </si>
  <si>
    <r>
      <t xml:space="preserve">Pengadaan Bibit </t>
    </r>
    <r>
      <rPr>
        <i/>
        <sz val="12"/>
        <color theme="1"/>
        <rFont val="Arial"/>
        <family val="2"/>
      </rPr>
      <t>Rhizophora mucronata</t>
    </r>
  </si>
  <si>
    <t>Orang</t>
  </si>
  <si>
    <t>Hari</t>
  </si>
  <si>
    <t>Penanaman Bibit</t>
  </si>
  <si>
    <t>Evaluasi Penanaman</t>
  </si>
  <si>
    <t>3x1</t>
  </si>
  <si>
    <t>Pemasangan Patok</t>
  </si>
  <si>
    <t>Patok Larikan P (150 cm) L (4 - 5 cm)</t>
  </si>
  <si>
    <t>atas 3 m</t>
  </si>
  <si>
    <t>kiri 1 m</t>
  </si>
  <si>
    <t>kanan 1 m</t>
  </si>
  <si>
    <t>patok larikan</t>
  </si>
  <si>
    <t>jarak 3 m</t>
  </si>
  <si>
    <t>jarak 1 m</t>
  </si>
  <si>
    <t>Total 12 Ha</t>
  </si>
  <si>
    <t>11,83 Ha</t>
  </si>
  <si>
    <t>Total 11,83 Ha</t>
  </si>
  <si>
    <t>Pekerjaan Rehabilitasi Ekosistem Pesisir Penanaman Mangrove TA. 2025</t>
  </si>
  <si>
    <t>5 Ha</t>
  </si>
  <si>
    <r>
      <t xml:space="preserve">Pengadaan Propagule </t>
    </r>
    <r>
      <rPr>
        <i/>
        <sz val="12"/>
        <color theme="1"/>
        <rFont val="Arial"/>
        <family val="2"/>
      </rPr>
      <t>Rhizophora mucronata</t>
    </r>
  </si>
  <si>
    <t xml:space="preserve"> </t>
  </si>
  <si>
    <t>Pengadaan Tali Rafia Pengikat Ajir</t>
  </si>
  <si>
    <t>Waring</t>
  </si>
  <si>
    <t>Nilon 5 mm</t>
  </si>
  <si>
    <t>Bal</t>
  </si>
  <si>
    <t>No.</t>
  </si>
  <si>
    <t>Area</t>
  </si>
  <si>
    <t>Area 1</t>
  </si>
  <si>
    <t>Area 2</t>
  </si>
  <si>
    <t>Area 3</t>
  </si>
  <si>
    <t>Area 4</t>
  </si>
  <si>
    <t>Area 5</t>
  </si>
  <si>
    <t>Luas (Ha)</t>
  </si>
  <si>
    <t>P: 160 m; L: 70 m</t>
  </si>
  <si>
    <t>P: 230 m; L: 80 m</t>
  </si>
  <si>
    <t>P: 200 m; L: 20 m</t>
  </si>
  <si>
    <t>P: 400 m; L: 110 m</t>
  </si>
  <si>
    <t>Penancapan ajir</t>
  </si>
  <si>
    <t>Uraian</t>
  </si>
  <si>
    <t xml:space="preserve">No. </t>
  </si>
  <si>
    <t>Penanaman bibit</t>
  </si>
  <si>
    <t>Satuan Penanaman Mangrove</t>
  </si>
  <si>
    <t>Total 5 Ha</t>
  </si>
  <si>
    <t>Pekerjaan Rehabilitasi Ekosistem Pesisir Penanaman Mangrove TA. 2025 di Kab. Alor Prov. NTT</t>
  </si>
  <si>
    <t>Pengadaan Papan Informasi Program (1,2 x 1 m)</t>
  </si>
  <si>
    <t>sesuai panjang/lebar lahan yang akan ditanam (per 5 m atau 10 m)</t>
  </si>
  <si>
    <t>Cari info berapa panjang waring per bal nya</t>
  </si>
  <si>
    <t>Paku beton 7 cm</t>
  </si>
  <si>
    <t>Panjang bukaan lahan</t>
  </si>
  <si>
    <t>meter</t>
  </si>
  <si>
    <t>batang</t>
  </si>
  <si>
    <t>1. Pengadaan Bibit Mangrove</t>
  </si>
  <si>
    <t>3. Upah Pekerja Penanaman</t>
  </si>
  <si>
    <t>PPH 2%</t>
  </si>
  <si>
    <t>Harga satuan</t>
  </si>
  <si>
    <t>Pembulatan</t>
  </si>
  <si>
    <t>Pengadaan Patok Rumpun P (3 m) D (7-10 cm)</t>
  </si>
  <si>
    <t>Pengadaan Ajir P (120 cm) L (3 cm)</t>
  </si>
  <si>
    <t>Pengadaan Pelindung Tanaman (380 m)</t>
  </si>
  <si>
    <t>-</t>
  </si>
  <si>
    <t>Bambu Belah pagar samping P (6 m) D (3-5 cm)</t>
  </si>
  <si>
    <t>Waring @100 meter</t>
  </si>
  <si>
    <t>Tali Pengikat Ajir @1 bal</t>
  </si>
  <si>
    <t>Paku Beton @100 pcs P 7 cm</t>
  </si>
  <si>
    <t>Nilon</t>
  </si>
  <si>
    <t>Patok Pelindung Tanaman P (200 cm) D (6-10 cm)</t>
  </si>
  <si>
    <t>Panjang bambu 6 meter dibagi 3</t>
  </si>
  <si>
    <t xml:space="preserve">Perhitungan bambu pelindung </t>
  </si>
  <si>
    <t>(dipasang per 5 meter)</t>
  </si>
  <si>
    <t>Perhitungan pembuatan ajir</t>
  </si>
  <si>
    <t>Kebutuhan ajir</t>
  </si>
  <si>
    <t>Panjang bambu</t>
  </si>
  <si>
    <t>Harga</t>
  </si>
  <si>
    <t>rupiah</t>
  </si>
  <si>
    <t>Bambu P (6 meter) D (6-10 cm)</t>
  </si>
  <si>
    <t>Pekerjaan Pembuatan Bambu Pelindung</t>
  </si>
  <si>
    <t>Bambu P (2 meter) D (6-10 cm)</t>
  </si>
  <si>
    <t>Hari Ke-</t>
  </si>
  <si>
    <t>Pemasangan Pagar Pelindung</t>
  </si>
  <si>
    <t>Jumlah Pekerja</t>
  </si>
  <si>
    <t>Batang per Org/Hari</t>
  </si>
  <si>
    <t>Jumlah             Hari Kerja</t>
  </si>
  <si>
    <t>(1 bambu, jadi 16 ajir)</t>
  </si>
  <si>
    <t>batang bambu</t>
  </si>
  <si>
    <t>Harga ajir per batang</t>
  </si>
  <si>
    <t>Harga bambu seluruhnya</t>
  </si>
  <si>
    <t>Pola penanaman murni 1 x 1 meter sesuai juknis</t>
  </si>
  <si>
    <t>Harga bibit dan sarana (ajir dll) sudah termasuk transport pengangkutan dan pembuatan</t>
  </si>
  <si>
    <t>2,5 Ha</t>
  </si>
  <si>
    <t>Total 2,5 Ha</t>
  </si>
  <si>
    <t>Bambu yang diminta dengan panjang 6 meter dengan harga per batang Rp. 20 rb</t>
  </si>
  <si>
    <t>1 Ha</t>
  </si>
  <si>
    <t>10 Rumpun</t>
  </si>
  <si>
    <t>Murni (1x1)</t>
  </si>
  <si>
    <t>Karbon Tancang</t>
  </si>
  <si>
    <t>Guludan (5X10m)</t>
  </si>
  <si>
    <t>Rumpun Berjarak (</t>
  </si>
  <si>
    <t>Persiapan Lahan, Langsir Sarana</t>
  </si>
  <si>
    <t>Pecah Kwitansi</t>
  </si>
  <si>
    <t>I</t>
  </si>
  <si>
    <t>II</t>
  </si>
  <si>
    <t>III</t>
  </si>
  <si>
    <t>P: 150 m; L: 60 m</t>
  </si>
  <si>
    <t>P: 200 m; L: 60 m</t>
  </si>
  <si>
    <t>P: 30 m; L: 20 m</t>
  </si>
  <si>
    <t>SP2D/Pecah Kwitansi</t>
  </si>
  <si>
    <t>SP2D</t>
  </si>
  <si>
    <t>Data Angel</t>
  </si>
  <si>
    <t>Selisih</t>
  </si>
  <si>
    <t>SP2D 02176T (tgl 9 Desember)</t>
  </si>
  <si>
    <t>SP2D 02164T (tgl 9 Desember)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</si>
</sst>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Rp&quot;#,##0;\-&quot;Rp&quot;#,##0"/>
    <numFmt numFmtId="6" formatCode="&quot;Rp&quot;#,##0;[Red]\-&quot;Rp&quot;#,##0"/>
    <numFmt numFmtId="8" formatCode="&quot;Rp&quot;#,##0.00;[Red]\-&quot;Rp&quot;#,##0.00"/>
    <numFmt numFmtId="42" formatCode="_-&quot;Rp&quot;* #,##0_-;\-&quot;Rp&quot;* #,##0_-;_-&quot;Rp&quot;* &quot;-&quot;_-;_-@_-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&quot;$&quot;* #,##0_-;\-&quot;$&quot;* #,##0_-;_-&quot;$&quot;* &quot;-&quot;_-;_-@_-"/>
    <numFmt numFmtId="165" formatCode="_-&quot;$&quot;* #,##0.00_-;\-&quot;$&quot;* #,##0.00_-;_-&quot;$&quot;* &quot;-&quot;??_-;_-@_-"/>
    <numFmt numFmtId="166" formatCode="#,000_);[Red]\(#,000\)"/>
    <numFmt numFmtId="167" formatCode="&quot;Rp&quot;#,##0_);[Red]\(&quot;Rp&quot;#,##0\)"/>
    <numFmt numFmtId="168" formatCode="&quot;Rp&quot;#,##0"/>
    <numFmt numFmtId="169" formatCode="_(* #,##0_);_(* \(#,##0\);_(* &quot;-&quot;??_);_(@_)"/>
    <numFmt numFmtId="170" formatCode="_-* #,##0_-;\-* #,##0_-;_-* &quot;-&quot;_-;_-@"/>
    <numFmt numFmtId="171" formatCode="_(* #.##0.00_);_(* \(#.##0.00\);_(* &quot;-&quot;??_);_(@_)"/>
    <numFmt numFmtId="172" formatCode="_(* #,##0.0000_);_(* \(#,##0.0000\);_(* &quot;-&quot;??_);_(@_)"/>
    <numFmt numFmtId="173" formatCode="&quot;$&quot;#,##0_);[Red]\(&quot;$&quot;#,##0\)"/>
    <numFmt numFmtId="174" formatCode="&quot;$&quot;#,##0.00_);[Red]\(&quot;$&quot;#,##0.00\)"/>
    <numFmt numFmtId="175" formatCode="_ * #,##0_ ;_ * \-#,##0_ ;_ * &quot;-&quot;_ ;_ @_ "/>
    <numFmt numFmtId="176" formatCode="_ * #,##0.00_ ;_ * \-#,##0.00_ ;_ * &quot;-&quot;??_ ;_ @_ "/>
    <numFmt numFmtId="177" formatCode="_([$Rp-421]* #,##0.00_);_([$Rp-421]* \(#,##0.00\);_([$Rp-421]* &quot;-&quot;??_);_(@_)"/>
    <numFmt numFmtId="178" formatCode="\$#,##0\ ;\(\$#,##0\)"/>
    <numFmt numFmtId="179" formatCode="&quot;VND&quot;#,##0_);[Red]\(&quot;VND&quot;#,##0\)"/>
    <numFmt numFmtId="180" formatCode="&quot;\&quot;#,##0;[Red]&quot;\&quot;&quot;\&quot;\-#,##0"/>
    <numFmt numFmtId="181" formatCode="&quot;\&quot;#,##0.00;[Red]&quot;\&quot;&quot;\&quot;&quot;\&quot;&quot;\&quot;&quot;\&quot;&quot;\&quot;\-#,##0.00"/>
    <numFmt numFmtId="182" formatCode="&quot;\&quot;#,##0.00;[Red]&quot;\&quot;\-#,##0.00"/>
    <numFmt numFmtId="183" formatCode="&quot;\&quot;#,##0;[Red]&quot;\&quot;\-#,##0"/>
    <numFmt numFmtId="184" formatCode="0_)"/>
    <numFmt numFmtId="185" formatCode="0.0000"/>
    <numFmt numFmtId="186" formatCode="0.0"/>
    <numFmt numFmtId="187" formatCode="#,##0;\-#,##0;&quot;-&quot;"/>
    <numFmt numFmtId="188" formatCode="0.0000000"/>
    <numFmt numFmtId="189" formatCode="_(* #,##0.0000_);_(* \(#,##0.0000\);_(* &quot;-&quot;????_);_(@_)"/>
    <numFmt numFmtId="190" formatCode="_([$€-2]* #,##0.00_);_([$€-2]* \(#,##0.00\);_([$€-2]* &quot;-&quot;??_)"/>
    <numFmt numFmtId="191" formatCode="mm/dd/yy"/>
    <numFmt numFmtId="192" formatCode="#."/>
    <numFmt numFmtId="193" formatCode="#,##0.00\ &quot;Pts&quot;;[Red]\-#,##0.00\ &quot;Pts&quot;"/>
    <numFmt numFmtId="194" formatCode="_-* #,##0\ _P_t_s_-;\-* #,##0\ _P_t_s_-;_-* &quot;-&quot;\ _P_t_s_-;_-@_-"/>
    <numFmt numFmtId="195" formatCode="_-* #,##0\ &quot;Pts&quot;_-;\-* #,##0\ &quot;Pts&quot;_-;_-* &quot;-&quot;\ &quot;Pts&quot;_-;_-@_-"/>
    <numFmt numFmtId="196" formatCode="_-* #,##0.00\ &quot;Pts&quot;_-;\-* #,##0.00\ &quot;Pts&quot;_-;_-* &quot;-&quot;??\ &quot;Pts&quot;_-;_-@_-"/>
    <numFmt numFmtId="197" formatCode="0.00_)"/>
    <numFmt numFmtId="198" formatCode="_(* #,##0.000000_);_(* \(#,##0.000000\);_(* &quot;-&quot;_);_(@_)"/>
    <numFmt numFmtId="199" formatCode="_-&quot;£&quot;* #,##0_-;\-&quot;£&quot;* #,##0_-;_-&quot;£&quot;* &quot;-&quot;_-;_-@_-"/>
    <numFmt numFmtId="200" formatCode="_(* #,##0.00_);_(* \(#,##0.00\);_(* &quot;-&quot;??????_);_(@_)"/>
    <numFmt numFmtId="201" formatCode="_(* #,##0.00_);_(* \(#,##0.00\);_(* \-??_);_(@_)"/>
    <numFmt numFmtId="202" formatCode="#,##0.00\ _$;\-#,##0.00\ _$"/>
    <numFmt numFmtId="203" formatCode="General_)"/>
    <numFmt numFmtId="204" formatCode="#,##0_);[Red]\(#,##0\);;@"/>
    <numFmt numFmtId="205" formatCode="&quot;Rp. &quot;#,##0_);[Red]\(&quot;Rp. &quot;#,##0\)"/>
    <numFmt numFmtId="206" formatCode="#,##0.00000_);\(#,##0.00000\)"/>
    <numFmt numFmtId="207" formatCode="_-* #,##0_-;\-* #,##0_-;_-* &quot;-&quot;??_-;_-@_-"/>
    <numFmt numFmtId="208" formatCode="#,##0.00_ ;\-#,##0.00\ "/>
  </numFmts>
  <fonts count="1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  <charset val="1"/>
    </font>
    <font>
      <sz val="10"/>
      <color indexed="9"/>
      <name val="Arial"/>
      <family val="2"/>
      <charset val="1"/>
    </font>
    <font>
      <sz val="12"/>
      <name val="¹UAAA¼"/>
      <family val="3"/>
    </font>
    <font>
      <sz val="10"/>
      <color indexed="20"/>
      <name val="Arial"/>
      <family val="2"/>
      <charset val="1"/>
    </font>
    <font>
      <b/>
      <sz val="10"/>
      <color indexed="52"/>
      <name val="Arial"/>
      <family val="2"/>
      <charset val="1"/>
    </font>
    <font>
      <b/>
      <sz val="10"/>
      <color indexed="9"/>
      <name val="Arial"/>
      <family val="2"/>
      <charset val="1"/>
    </font>
    <font>
      <i/>
      <sz val="10"/>
      <color indexed="23"/>
      <name val="Arial"/>
      <family val="2"/>
      <charset val="1"/>
    </font>
    <font>
      <sz val="10"/>
      <color indexed="17"/>
      <name val="Arial"/>
      <family val="2"/>
      <charset val="1"/>
    </font>
    <font>
      <b/>
      <sz val="15"/>
      <color indexed="56"/>
      <name val="Arial"/>
      <family val="2"/>
      <charset val="1"/>
    </font>
    <font>
      <b/>
      <sz val="13"/>
      <color indexed="56"/>
      <name val="Arial"/>
      <family val="2"/>
      <charset val="1"/>
    </font>
    <font>
      <b/>
      <sz val="11"/>
      <color indexed="56"/>
      <name val="Arial"/>
      <family val="2"/>
      <charset val="1"/>
    </font>
    <font>
      <u/>
      <sz val="10"/>
      <color indexed="12"/>
      <name val="Arial"/>
      <family val="2"/>
    </font>
    <font>
      <sz val="10"/>
      <color indexed="62"/>
      <name val="Arial"/>
      <family val="2"/>
      <charset val="1"/>
    </font>
    <font>
      <sz val="10"/>
      <color indexed="52"/>
      <name val="Arial"/>
      <family val="2"/>
      <charset val="1"/>
    </font>
    <font>
      <sz val="10"/>
      <color indexed="60"/>
      <name val="Arial"/>
      <family val="2"/>
      <charset val="1"/>
    </font>
    <font>
      <sz val="10"/>
      <name val="VNtimes new roman"/>
      <family val="2"/>
    </font>
    <font>
      <b/>
      <sz val="10"/>
      <color indexed="63"/>
      <name val="Arial"/>
      <family val="2"/>
      <charset val="1"/>
    </font>
    <font>
      <b/>
      <sz val="18"/>
      <color indexed="56"/>
      <name val="Cambria"/>
      <family val="2"/>
      <charset val="1"/>
    </font>
    <font>
      <b/>
      <sz val="10"/>
      <color indexed="8"/>
      <name val="Arial"/>
      <family val="2"/>
      <charset val="1"/>
    </font>
    <font>
      <sz val="10"/>
      <color indexed="10"/>
      <name val="Arial"/>
      <family val="2"/>
      <charset val="1"/>
    </font>
    <font>
      <sz val="12"/>
      <name val="新細明體"/>
      <family val="1"/>
      <charset val="136"/>
    </font>
    <font>
      <sz val="14"/>
      <name val="뼻뮝"/>
      <family val="3"/>
    </font>
    <font>
      <sz val="12"/>
      <name val="뼻뮝"/>
      <family val="3"/>
    </font>
    <font>
      <sz val="12"/>
      <name val="바탕체"/>
      <family val="3"/>
    </font>
    <font>
      <sz val="10"/>
      <name val="굴림체"/>
      <family val="3"/>
    </font>
    <font>
      <sz val="12"/>
      <name val="Arial Narrow"/>
      <family val="2"/>
    </font>
    <font>
      <sz val="10"/>
      <name val="Times New Roman"/>
      <family val="1"/>
    </font>
    <font>
      <sz val="11"/>
      <name val="Calibri"/>
      <family val="2"/>
    </font>
    <font>
      <sz val="11"/>
      <color indexed="8"/>
      <name val="Calibri"/>
      <family val="2"/>
      <charset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2"/>
      <name val="Tms Rmn"/>
    </font>
    <font>
      <sz val="10"/>
      <name val="MS Serif"/>
      <family val="1"/>
    </font>
    <font>
      <sz val="10"/>
      <color indexed="16"/>
      <name val="MS Serif"/>
      <family val="1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2"/>
      <name val="Arial"/>
      <family val="2"/>
    </font>
    <font>
      <sz val="12"/>
      <name val="Helv"/>
    </font>
    <font>
      <sz val="8"/>
      <name val="Helv"/>
      <family val="2"/>
    </font>
    <font>
      <b/>
      <sz val="8"/>
      <color indexed="8"/>
      <name val="Helv"/>
      <family val="2"/>
    </font>
    <font>
      <sz val="12"/>
      <name val="新細明體"/>
      <charset val="136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Arial"/>
      <family val="2"/>
    </font>
    <font>
      <sz val="12"/>
      <color indexed="10"/>
      <name val="Helv"/>
    </font>
    <font>
      <sz val="1"/>
      <color indexed="16"/>
      <name val="Courier"/>
      <family val="3"/>
    </font>
    <font>
      <b/>
      <sz val="12"/>
      <color indexed="8"/>
      <name val="Century Gothic"/>
      <family val="2"/>
    </font>
    <font>
      <sz val="12"/>
      <name val="¹ÙÅÁÃ¼"/>
      <charset val="129"/>
    </font>
    <font>
      <sz val="12"/>
      <name val="Times New Roman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color indexed="52"/>
      <name val="Arial"/>
      <family val="2"/>
    </font>
    <font>
      <sz val="10"/>
      <name val="SimSun"/>
      <family val="2"/>
    </font>
    <font>
      <sz val="6"/>
      <name val="Arial"/>
      <family val="2"/>
    </font>
    <font>
      <sz val="6"/>
      <name val="Helv"/>
    </font>
    <font>
      <sz val="10"/>
      <name val="Tms Rmn"/>
    </font>
    <font>
      <b/>
      <sz val="10"/>
      <color indexed="8"/>
      <name val="Arial"/>
      <family val="2"/>
    </font>
    <font>
      <sz val="10"/>
      <name val="Courier"/>
      <family val="3"/>
    </font>
    <font>
      <b/>
      <sz val="18"/>
      <name val="Arial"/>
      <family val="2"/>
    </font>
    <font>
      <b/>
      <sz val="1"/>
      <color indexed="8"/>
      <name val="Courier"/>
      <family val="3"/>
    </font>
    <font>
      <b/>
      <sz val="8"/>
      <name val="MS Sans Serif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name val="Helv"/>
    </font>
    <font>
      <sz val="9"/>
      <name val="Arial"/>
      <family val="2"/>
    </font>
    <font>
      <sz val="11"/>
      <name val="Helv"/>
    </font>
    <font>
      <sz val="10"/>
      <name val="MS Sans Serif"/>
      <family val="2"/>
    </font>
    <font>
      <b/>
      <sz val="14"/>
      <color indexed="8"/>
      <name val="Times New Roman"/>
      <family val="1"/>
    </font>
    <font>
      <sz val="11"/>
      <name val="Arial"/>
      <family val="2"/>
    </font>
    <font>
      <b/>
      <sz val="10"/>
      <color indexed="63"/>
      <name val="Arial"/>
      <family val="2"/>
    </font>
    <font>
      <b/>
      <sz val="10"/>
      <color indexed="8"/>
      <name val="Univers"/>
      <family val="2"/>
    </font>
    <font>
      <sz val="8"/>
      <name val="Wingdings"/>
      <charset val="2"/>
    </font>
    <font>
      <b/>
      <sz val="18"/>
      <color indexed="8"/>
      <name val="Cambria"/>
      <family val="1"/>
    </font>
    <font>
      <sz val="8"/>
      <name val="MS Sans Serif"/>
      <family val="2"/>
    </font>
    <font>
      <sz val="10"/>
      <color indexed="13"/>
      <name val="Helv"/>
    </font>
    <font>
      <u/>
      <sz val="10"/>
      <color indexed="14"/>
      <name val="Courier New"/>
      <family val="3"/>
    </font>
    <font>
      <sz val="12"/>
      <color indexed="8"/>
      <name val="AvantGarde Bk BT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u/>
      <sz val="8.25"/>
      <color indexed="12"/>
      <name val="Arial"/>
      <family val="2"/>
    </font>
    <font>
      <b/>
      <sz val="12"/>
      <name val="SWISS"/>
    </font>
    <font>
      <sz val="12"/>
      <name val="Arial MT"/>
    </font>
    <font>
      <sz val="12"/>
      <name val="Book Antiqua"/>
      <family val="1"/>
    </font>
    <font>
      <sz val="10"/>
      <name val="Tahoma"/>
      <family val="2"/>
    </font>
    <font>
      <b/>
      <sz val="11"/>
      <color theme="0"/>
      <name val="Calibri"/>
      <family val="2"/>
      <charset val="1"/>
      <scheme val="minor"/>
    </font>
    <font>
      <sz val="11"/>
      <color rgb="FF000000"/>
      <name val="Calibri"/>
      <family val="2"/>
      <charset val="204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FF"/>
      <name val="Arial"/>
      <family val="2"/>
    </font>
    <font>
      <b/>
      <i/>
      <sz val="12"/>
      <color theme="1"/>
      <name val="Arial"/>
      <family val="2"/>
    </font>
    <font>
      <sz val="12"/>
      <color rgb="FF0000FF"/>
      <name val="Arial"/>
      <family val="2"/>
    </font>
    <font>
      <b/>
      <i/>
      <sz val="11"/>
      <color theme="1"/>
      <name val="Arial"/>
      <family val="2"/>
    </font>
    <font>
      <b/>
      <sz val="12"/>
      <color rgb="FF0000FF"/>
      <name val="Arial"/>
      <family val="2"/>
    </font>
    <font>
      <b/>
      <sz val="12"/>
      <color rgb="FFFF000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55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darkHorizontal">
        <fgColor indexed="22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darkVertical"/>
    </fill>
    <fill>
      <patternFill patternType="solid">
        <fgColor indexed="1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</borders>
  <cellStyleXfs count="2027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6" fillId="0" borderId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192" fontId="44" fillId="0" borderId="0">
      <protection locked="0"/>
    </xf>
    <xf numFmtId="0" fontId="47" fillId="0" borderId="0"/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43" fontId="7" fillId="0" borderId="0">
      <protection locked="0"/>
    </xf>
    <xf numFmtId="43" fontId="7" fillId="0" borderId="0">
      <protection locked="0"/>
    </xf>
    <xf numFmtId="43" fontId="7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0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0" fontId="68" fillId="0" borderId="0"/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43" fontId="7" fillId="0" borderId="0">
      <protection locked="0"/>
    </xf>
    <xf numFmtId="43" fontId="7" fillId="0" borderId="0">
      <protection locked="0"/>
    </xf>
    <xf numFmtId="43" fontId="7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69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192" fontId="44" fillId="0" borderId="0">
      <protection locked="0"/>
    </xf>
    <xf numFmtId="0" fontId="44" fillId="0" borderId="0">
      <protection locked="0"/>
    </xf>
    <xf numFmtId="0" fontId="7" fillId="0" borderId="0"/>
    <xf numFmtId="0" fontId="7" fillId="0" borderId="0"/>
    <xf numFmtId="0" fontId="7" fillId="0" borderId="0"/>
    <xf numFmtId="41" fontId="70" fillId="0" borderId="0">
      <alignment vertical="center"/>
    </xf>
    <xf numFmtId="9" fontId="71" fillId="0" borderId="0" applyFon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9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9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9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9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9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9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9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5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5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5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5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5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5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5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5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5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193" fontId="72" fillId="0" borderId="0" applyFont="0" applyFill="0" applyBorder="0" applyAlignment="0" applyProtection="0"/>
    <xf numFmtId="0" fontId="12" fillId="0" borderId="0" applyFont="0" applyFill="0" applyBorder="0" applyAlignment="0" applyProtection="0"/>
    <xf numFmtId="194" fontId="7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73" fillId="0" borderId="0">
      <alignment horizontal="center" wrapText="1"/>
      <protection locked="0"/>
    </xf>
    <xf numFmtId="195" fontId="72" fillId="0" borderId="0" applyFont="0" applyFill="0" applyBorder="0" applyAlignment="0" applyProtection="0"/>
    <xf numFmtId="0" fontId="12" fillId="0" borderId="0" applyFont="0" applyFill="0" applyBorder="0" applyAlignment="0" applyProtection="0"/>
    <xf numFmtId="196" fontId="7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52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Border="0">
      <alignment horizontal="center"/>
    </xf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12" fillId="0" borderId="0"/>
    <xf numFmtId="0" fontId="71" fillId="0" borderId="0"/>
    <xf numFmtId="0" fontId="12" fillId="0" borderId="0"/>
    <xf numFmtId="187" fontId="40" fillId="0" borderId="0" applyFill="0" applyBorder="0" applyAlignment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53" fillId="22" borderId="14" applyNumberFormat="0" applyAlignment="0" applyProtection="0"/>
    <xf numFmtId="0" fontId="53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4" fillId="22" borderId="14" applyNumberFormat="0" applyAlignment="0" applyProtection="0"/>
    <xf numFmtId="0" fontId="76" fillId="23" borderId="14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54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09" fillId="3" borderId="12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0" fontId="15" fillId="24" borderId="15" applyNumberFormat="0" applyAlignment="0" applyProtection="0"/>
    <xf numFmtId="43" fontId="6" fillId="0" borderId="0" applyFont="0" applyFill="0" applyBorder="0" applyAlignment="0" applyProtection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37" fontId="41" fillId="0" borderId="0"/>
    <xf numFmtId="41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97" fontId="7" fillId="0" borderId="0" applyFill="0" applyBorder="0" applyAlignment="0" applyProtection="0"/>
    <xf numFmtId="41" fontId="7" fillId="0" borderId="0" applyFont="0" applyFill="0" applyBorder="0" applyAlignment="0" applyProtection="0"/>
    <xf numFmtId="198" fontId="7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" fillId="0" borderId="0" applyFont="0" applyFill="0" applyBorder="0" applyAlignment="0" applyProtection="0"/>
    <xf numFmtId="178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8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5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5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7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5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5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5" fontId="35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9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199" fontId="7" fillId="0" borderId="0" applyFont="0" applyFill="0" applyBorder="0" applyAlignment="0" applyProtection="0"/>
    <xf numFmtId="41" fontId="38" fillId="0" borderId="0" applyFont="0" applyFill="0" applyBorder="0" applyAlignment="0" applyProtection="0"/>
    <xf numFmtId="199" fontId="7" fillId="0" borderId="0" applyFont="0" applyFill="0" applyBorder="0" applyAlignment="0" applyProtection="0"/>
    <xf numFmtId="41" fontId="38" fillId="0" borderId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5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7" fontId="7" fillId="0" borderId="0" applyFill="0" applyBorder="0" applyAlignment="0" applyProtection="0"/>
    <xf numFmtId="41" fontId="7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7" fillId="0" borderId="0" applyFont="0" applyFill="0" applyBorder="0" applyAlignment="0" applyProtection="0"/>
    <xf numFmtId="200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74" fontId="7" fillId="0" borderId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98" fontId="7" fillId="0" borderId="0" applyFill="0" applyBorder="0" applyAlignment="0" applyProtection="0"/>
    <xf numFmtId="41" fontId="7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0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0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0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90" fontId="35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0" fontId="7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176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1" fontId="7" fillId="0" borderId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3" fontId="7" fillId="0" borderId="0" applyFont="0" applyFill="0" applyBorder="0" applyAlignment="0" applyProtection="0"/>
    <xf numFmtId="3" fontId="36" fillId="0" borderId="0" applyFont="0" applyFill="0" applyBorder="0" applyAlignment="0" applyProtection="0"/>
    <xf numFmtId="0" fontId="42" fillId="0" borderId="0" applyNumberFormat="0" applyAlignment="0">
      <alignment horizontal="left"/>
    </xf>
    <xf numFmtId="17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202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78" fontId="36" fillId="0" borderId="0" applyFont="0" applyFill="0" applyBorder="0" applyAlignment="0" applyProtection="0"/>
    <xf numFmtId="0" fontId="78" fillId="0" borderId="0" applyNumberFormat="0" applyFont="0" applyFill="0" applyBorder="0" applyAlignment="0" applyProtection="0"/>
    <xf numFmtId="203" fontId="79" fillId="0" borderId="0"/>
    <xf numFmtId="0" fontId="78" fillId="0" borderId="5" applyNumberFormat="0" applyFont="0" applyFill="0" applyAlignment="0" applyProtection="0"/>
    <xf numFmtId="203" fontId="79" fillId="0" borderId="16"/>
    <xf numFmtId="0" fontId="7" fillId="0" borderId="0" applyFont="0" applyFill="0" applyBorder="0" applyAlignment="0" applyProtection="0"/>
    <xf numFmtId="0" fontId="36" fillId="0" borderId="0" applyFont="0" applyFill="0" applyBorder="0" applyAlignment="0" applyProtection="0"/>
    <xf numFmtId="204" fontId="80" fillId="0" borderId="0" applyFill="0" applyBorder="0">
      <alignment horizontal="left" vertical="top" wrapText="1"/>
      <protection locked="0"/>
    </xf>
    <xf numFmtId="0" fontId="81" fillId="25" borderId="0" applyNumberFormat="0" applyBorder="0" applyAlignment="0" applyProtection="0"/>
    <xf numFmtId="0" fontId="81" fillId="26" borderId="0" applyNumberFormat="0" applyBorder="0" applyAlignment="0" applyProtection="0"/>
    <xf numFmtId="0" fontId="81" fillId="26" borderId="0" applyNumberFormat="0" applyBorder="0" applyAlignment="0" applyProtection="0"/>
    <xf numFmtId="0" fontId="43" fillId="0" borderId="0" applyNumberFormat="0" applyAlignment="0">
      <alignment horizontal="left"/>
    </xf>
    <xf numFmtId="0" fontId="101" fillId="0" borderId="17">
      <alignment horizontal="center"/>
    </xf>
    <xf numFmtId="190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82" fillId="0" borderId="0"/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>
      <protection locked="0"/>
    </xf>
    <xf numFmtId="2" fontId="7" fillId="0" borderId="0" applyFont="0" applyFill="0" applyBorder="0" applyAlignment="0" applyProtection="0"/>
    <xf numFmtId="2" fontId="36" fillId="0" borderId="0" applyFont="0" applyFill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56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38" fontId="8" fillId="23" borderId="0" applyNumberFormat="0" applyBorder="0" applyAlignment="0" applyProtection="0"/>
    <xf numFmtId="0" fontId="46" fillId="0" borderId="13" applyNumberFormat="0" applyAlignment="0" applyProtection="0">
      <alignment horizontal="left" vertical="center"/>
    </xf>
    <xf numFmtId="0" fontId="46" fillId="0" borderId="3">
      <alignment horizontal="left" vertical="center"/>
    </xf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57" fillId="0" borderId="18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0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02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02" fillId="0" borderId="0" applyNumberFormat="0" applyFill="0" applyBorder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58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103" fillId="0" borderId="0" applyNumberFormat="0" applyFill="0" applyBorder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59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20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92" fontId="84" fillId="0" borderId="0">
      <protection locked="0"/>
    </xf>
    <xf numFmtId="192" fontId="84" fillId="0" borderId="0">
      <protection locked="0"/>
    </xf>
    <xf numFmtId="0" fontId="85" fillId="0" borderId="21">
      <alignment horizontal="center"/>
    </xf>
    <xf numFmtId="0" fontId="85" fillId="0" borderId="0">
      <alignment horizontal="center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11" fillId="0" borderId="0" applyNumberFormat="0" applyFill="0" applyBorder="0" applyAlignment="0" applyProtection="0"/>
    <xf numFmtId="10" fontId="8" fillId="27" borderId="5" applyNumberFormat="0" applyBorder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60" fillId="9" borderId="14" applyNumberFormat="0" applyAlignment="0" applyProtection="0"/>
    <xf numFmtId="0" fontId="60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22" fillId="9" borderId="14" applyNumberFormat="0" applyAlignment="0" applyProtection="0"/>
    <xf numFmtId="0" fontId="86" fillId="28" borderId="14" applyNumberFormat="0" applyAlignment="0" applyProtection="0"/>
    <xf numFmtId="0" fontId="87" fillId="0" borderId="5" applyNumberFormat="0" applyAlignment="0" applyProtection="0"/>
    <xf numFmtId="203" fontId="88" fillId="29" borderId="16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61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0" fontId="23" fillId="0" borderId="22" applyNumberFormat="0" applyFill="0" applyAlignment="0" applyProtection="0"/>
    <xf numFmtId="39" fontId="105" fillId="0" borderId="23"/>
    <xf numFmtId="0" fontId="89" fillId="0" borderId="24">
      <alignment horizontal="center"/>
    </xf>
    <xf numFmtId="202" fontId="90" fillId="0" borderId="0"/>
    <xf numFmtId="0" fontId="89" fillId="0" borderId="24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0" fontId="89" fillId="0" borderId="23">
      <alignment horizontal="center"/>
    </xf>
    <xf numFmtId="0" fontId="89" fillId="0" borderId="23">
      <alignment horizontal="center"/>
    </xf>
    <xf numFmtId="0" fontId="89" fillId="0" borderId="23">
      <alignment horizontal="center"/>
    </xf>
    <xf numFmtId="0" fontId="89" fillId="0" borderId="23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0" fontId="89" fillId="0" borderId="24">
      <alignment horizontal="center"/>
    </xf>
    <xf numFmtId="38" fontId="91" fillId="0" borderId="0" applyFont="0" applyFill="0" applyBorder="0" applyAlignment="0" applyProtection="0"/>
    <xf numFmtId="40" fontId="91" fillId="0" borderId="0" applyFont="0" applyFill="0" applyBorder="0" applyAlignment="0" applyProtection="0"/>
    <xf numFmtId="173" fontId="91" fillId="0" borderId="0" applyFont="0" applyFill="0" applyBorder="0" applyAlignment="0" applyProtection="0"/>
    <xf numFmtId="174" fontId="91" fillId="0" borderId="0" applyFont="0" applyFill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62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0" fontId="24" fillId="30" borderId="0" applyNumberFormat="0" applyBorder="0" applyAlignment="0" applyProtection="0"/>
    <xf numFmtId="179" fontId="25" fillId="0" borderId="0"/>
    <xf numFmtId="0" fontId="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" fontId="106" fillId="0" borderId="5"/>
    <xf numFmtId="0" fontId="36" fillId="0" borderId="0" applyNumberFormat="0" applyAlignment="0"/>
    <xf numFmtId="0" fontId="7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107" fillId="0" borderId="0"/>
    <xf numFmtId="0" fontId="7" fillId="0" borderId="0"/>
    <xf numFmtId="0" fontId="7" fillId="0" borderId="0"/>
    <xf numFmtId="0" fontId="82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7" fillId="0" borderId="0"/>
    <xf numFmtId="0" fontId="112" fillId="0" borderId="0"/>
    <xf numFmtId="0" fontId="112" fillId="0" borderId="0"/>
    <xf numFmtId="0" fontId="9" fillId="0" borderId="0"/>
    <xf numFmtId="0" fontId="112" fillId="0" borderId="0"/>
    <xf numFmtId="0" fontId="1" fillId="0" borderId="0"/>
    <xf numFmtId="0" fontId="7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112" fillId="0" borderId="0"/>
    <xf numFmtId="0" fontId="7" fillId="0" borderId="0"/>
    <xf numFmtId="0" fontId="7" fillId="0" borderId="0"/>
    <xf numFmtId="169" fontId="8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0" borderId="0"/>
    <xf numFmtId="0" fontId="112" fillId="0" borderId="0"/>
    <xf numFmtId="0" fontId="7" fillId="0" borderId="0"/>
    <xf numFmtId="0" fontId="7" fillId="0" borderId="0"/>
    <xf numFmtId="0" fontId="1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9" fillId="0" borderId="0"/>
    <xf numFmtId="0" fontId="72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12" fillId="0" borderId="0"/>
    <xf numFmtId="0" fontId="1" fillId="0" borderId="0"/>
    <xf numFmtId="0" fontId="7" fillId="0" borderId="0"/>
    <xf numFmtId="0" fontId="112" fillId="0" borderId="0"/>
    <xf numFmtId="0" fontId="67" fillId="0" borderId="0"/>
    <xf numFmtId="0" fontId="7" fillId="0" borderId="0"/>
    <xf numFmtId="0" fontId="112" fillId="0" borderId="0"/>
    <xf numFmtId="0" fontId="7" fillId="0" borderId="0"/>
    <xf numFmtId="184" fontId="7" fillId="0" borderId="0"/>
    <xf numFmtId="0" fontId="39" fillId="0" borderId="0" applyNumberFormat="0" applyFill="0" applyBorder="0" applyProtection="0">
      <alignment horizontal="left" vertical="top"/>
    </xf>
    <xf numFmtId="0" fontId="7" fillId="0" borderId="0"/>
    <xf numFmtId="0" fontId="1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8" fillId="0" borderId="0"/>
    <xf numFmtId="0" fontId="7" fillId="0" borderId="0"/>
    <xf numFmtId="0" fontId="9" fillId="0" borderId="0"/>
    <xf numFmtId="0" fontId="7" fillId="0" borderId="0"/>
    <xf numFmtId="0" fontId="1" fillId="0" borderId="0"/>
    <xf numFmtId="0" fontId="9" fillId="0" borderId="0"/>
    <xf numFmtId="0" fontId="7" fillId="0" borderId="0"/>
    <xf numFmtId="0" fontId="67" fillId="0" borderId="0"/>
    <xf numFmtId="0" fontId="7" fillId="0" borderId="0"/>
    <xf numFmtId="44" fontId="7" fillId="0" borderId="0"/>
    <xf numFmtId="44" fontId="7" fillId="0" borderId="0"/>
    <xf numFmtId="44" fontId="7" fillId="0" borderId="0"/>
    <xf numFmtId="164" fontId="7" fillId="0" borderId="0"/>
    <xf numFmtId="44" fontId="7" fillId="0" borderId="0"/>
    <xf numFmtId="44" fontId="7" fillId="0" borderId="0"/>
    <xf numFmtId="44" fontId="7" fillId="0" borderId="0"/>
    <xf numFmtId="41" fontId="7" fillId="0" borderId="0"/>
    <xf numFmtId="0" fontId="82" fillId="0" borderId="0"/>
    <xf numFmtId="0" fontId="7" fillId="0" borderId="0"/>
    <xf numFmtId="0" fontId="7" fillId="0" borderId="0"/>
    <xf numFmtId="164" fontId="7" fillId="0" borderId="0"/>
    <xf numFmtId="180" fontId="7" fillId="0" borderId="0"/>
    <xf numFmtId="180" fontId="7" fillId="0" borderId="0"/>
    <xf numFmtId="183" fontId="7" fillId="0" borderId="0"/>
    <xf numFmtId="41" fontId="7" fillId="0" borderId="0"/>
    <xf numFmtId="181" fontId="7" fillId="0" borderId="0"/>
    <xf numFmtId="183" fontId="7" fillId="0" borderId="0"/>
    <xf numFmtId="183" fontId="7" fillId="0" borderId="0"/>
    <xf numFmtId="181" fontId="7" fillId="0" borderId="0"/>
    <xf numFmtId="41" fontId="7" fillId="0" borderId="0"/>
    <xf numFmtId="181" fontId="7" fillId="0" borderId="0"/>
    <xf numFmtId="164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81" fontId="7" fillId="0" borderId="0"/>
    <xf numFmtId="164" fontId="7" fillId="0" borderId="0"/>
    <xf numFmtId="41" fontId="7" fillId="0" borderId="0"/>
    <xf numFmtId="164" fontId="7" fillId="0" borderId="0"/>
    <xf numFmtId="165" fontId="7" fillId="0" borderId="0"/>
    <xf numFmtId="41" fontId="7" fillId="0" borderId="0"/>
    <xf numFmtId="44" fontId="7" fillId="0" borderId="0"/>
    <xf numFmtId="44" fontId="7" fillId="0" borderId="0"/>
    <xf numFmtId="4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164" fontId="7" fillId="0" borderId="0"/>
    <xf numFmtId="44" fontId="7" fillId="0" borderId="0"/>
    <xf numFmtId="186" fontId="7" fillId="0" borderId="0"/>
    <xf numFmtId="44" fontId="7" fillId="0" borderId="0"/>
    <xf numFmtId="164" fontId="7" fillId="0" borderId="0"/>
    <xf numFmtId="44" fontId="7" fillId="0" borderId="0"/>
    <xf numFmtId="44" fontId="7" fillId="0" borderId="0"/>
    <xf numFmtId="44" fontId="7" fillId="0" borderId="0"/>
    <xf numFmtId="0" fontId="7" fillId="0" borderId="0"/>
    <xf numFmtId="0" fontId="7" fillId="0" borderId="0"/>
    <xf numFmtId="0" fontId="7" fillId="0" borderId="0"/>
    <xf numFmtId="184" fontId="37" fillId="0" borderId="0"/>
    <xf numFmtId="0" fontId="7" fillId="0" borderId="0"/>
    <xf numFmtId="6" fontId="6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1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2" fillId="31" borderId="25" applyBorder="0">
      <alignment horizontal="center" vertical="justify"/>
    </xf>
    <xf numFmtId="0" fontId="93" fillId="0" borderId="0"/>
    <xf numFmtId="0" fontId="93" fillId="0" borderId="0"/>
    <xf numFmtId="0" fontId="93" fillId="0" borderId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9" fillId="32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7" fillId="32" borderId="26" applyNumberFormat="0" applyFont="0" applyAlignment="0" applyProtection="0"/>
    <xf numFmtId="0" fontId="7" fillId="27" borderId="26" applyNumberFormat="0" applyFon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63" fillId="22" borderId="27" applyNumberFormat="0" applyAlignment="0" applyProtection="0"/>
    <xf numFmtId="0" fontId="63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0" fontId="26" fillId="22" borderId="27" applyNumberFormat="0" applyAlignment="0" applyProtection="0"/>
    <xf numFmtId="0" fontId="94" fillId="23" borderId="27" applyNumberFormat="0" applyAlignment="0" applyProtection="0"/>
    <xf numFmtId="14" fontId="73" fillId="0" borderId="0">
      <alignment horizontal="center" wrapText="1"/>
      <protection locked="0"/>
    </xf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10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0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91" fillId="0" borderId="28" applyNumberFormat="0" applyBorder="0"/>
    <xf numFmtId="39" fontId="95" fillId="33" borderId="16"/>
    <xf numFmtId="0" fontId="93" fillId="0" borderId="0"/>
    <xf numFmtId="0" fontId="7" fillId="0" borderId="0"/>
    <xf numFmtId="205" fontId="7" fillId="34" borderId="5">
      <alignment horizontal="center" vertical="center" shrinkToFit="1"/>
    </xf>
    <xf numFmtId="0" fontId="96" fillId="35" borderId="0" applyNumberFormat="0" applyFont="0" applyBorder="0" applyAlignment="0">
      <alignment horizontal="center"/>
    </xf>
    <xf numFmtId="0" fontId="78" fillId="0" borderId="0" applyNumberFormat="0" applyFont="0" applyFill="0" applyBorder="0" applyAlignment="0" applyProtection="0"/>
    <xf numFmtId="203" fontId="79" fillId="0" borderId="0"/>
    <xf numFmtId="191" fontId="48" fillId="0" borderId="0" applyNumberFormat="0" applyFill="0" applyBorder="0" applyAlignment="0" applyProtection="0">
      <alignment horizontal="left"/>
    </xf>
    <xf numFmtId="0" fontId="93" fillId="0" borderId="0"/>
    <xf numFmtId="0" fontId="96" fillId="1" borderId="3" applyNumberFormat="0" applyFont="0" applyAlignment="0">
      <alignment horizontal="center"/>
    </xf>
    <xf numFmtId="0" fontId="97" fillId="0" borderId="0" applyNumberFormat="0" applyFill="0" applyBorder="0" applyAlignment="0" applyProtection="0"/>
    <xf numFmtId="39" fontId="105" fillId="0" borderId="23"/>
    <xf numFmtId="0" fontId="98" fillId="0" borderId="0" applyNumberFormat="0" applyFill="0" applyBorder="0" applyAlignment="0">
      <alignment horizontal="center"/>
    </xf>
    <xf numFmtId="0" fontId="7" fillId="0" borderId="0"/>
    <xf numFmtId="40" fontId="49" fillId="0" borderId="0" applyBorder="0">
      <alignment horizontal="right"/>
    </xf>
    <xf numFmtId="204" fontId="80" fillId="0" borderId="0">
      <protection locked="0"/>
    </xf>
    <xf numFmtId="0" fontId="78" fillId="0" borderId="5" applyNumberFormat="0" applyFont="0" applyFill="0" applyAlignment="0" applyProtection="0"/>
    <xf numFmtId="203" fontId="79" fillId="0" borderId="16"/>
    <xf numFmtId="0" fontId="7" fillId="0" borderId="0"/>
    <xf numFmtId="0" fontId="93" fillId="0" borderId="0"/>
    <xf numFmtId="0" fontId="7" fillId="0" borderId="0" applyNumberFormat="0" applyBorder="0" applyAlignment="0" applyProtection="0"/>
    <xf numFmtId="203" fontId="99" fillId="36" borderId="0"/>
    <xf numFmtId="0" fontId="7" fillId="0" borderId="0" applyNumberFormat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65" fillId="0" borderId="29" applyNumberForma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28" fillId="0" borderId="29" applyNumberForma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7" fillId="0" borderId="30" applyNumberFormat="0" applyFont="0" applyFill="0" applyAlignment="0" applyProtection="0"/>
    <xf numFmtId="0" fontId="28" fillId="0" borderId="29" applyNumberFormat="0" applyFill="0" applyAlignment="0" applyProtection="0"/>
    <xf numFmtId="0" fontId="28" fillId="0" borderId="29" applyNumberFormat="0" applyFill="0" applyAlignment="0" applyProtection="0"/>
    <xf numFmtId="0" fontId="28" fillId="0" borderId="29" applyNumberFormat="0" applyFill="0" applyAlignment="0" applyProtection="0"/>
    <xf numFmtId="0" fontId="28" fillId="0" borderId="29" applyNumberFormat="0" applyFill="0" applyAlignment="0" applyProtection="0"/>
    <xf numFmtId="0" fontId="28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28" fillId="0" borderId="29" applyNumberFormat="0" applyFill="0" applyAlignment="0" applyProtection="0"/>
    <xf numFmtId="0" fontId="81" fillId="0" borderId="29" applyNumberFormat="0" applyFill="0" applyAlignment="0" applyProtection="0"/>
    <xf numFmtId="0" fontId="87" fillId="0" borderId="31" applyNumberFormat="0" applyFill="0" applyAlignment="0" applyProtection="0"/>
    <xf numFmtId="203" fontId="88" fillId="0" borderId="32"/>
    <xf numFmtId="0" fontId="87" fillId="0" borderId="5" applyNumberFormat="0" applyFill="0" applyAlignment="0" applyProtection="0"/>
    <xf numFmtId="203" fontId="88" fillId="0" borderId="16"/>
    <xf numFmtId="204" fontId="80" fillId="0" borderId="0">
      <alignment horizontal="center"/>
      <protection locked="0"/>
    </xf>
    <xf numFmtId="0" fontId="100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4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30" fillId="0" borderId="0"/>
    <xf numFmtId="40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0" fontId="7" fillId="0" borderId="0" applyFont="0" applyFill="0" applyBorder="0" applyAlignment="0" applyProtection="0"/>
    <xf numFmtId="0" fontId="32" fillId="0" borderId="0"/>
    <xf numFmtId="180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2" fontId="33" fillId="0" borderId="0" applyFont="0" applyFill="0" applyBorder="0" applyAlignment="0" applyProtection="0"/>
    <xf numFmtId="183" fontId="33" fillId="0" borderId="0" applyFont="0" applyFill="0" applyBorder="0" applyAlignment="0" applyProtection="0"/>
    <xf numFmtId="0" fontId="34" fillId="0" borderId="0"/>
    <xf numFmtId="0" fontId="30" fillId="0" borderId="0"/>
    <xf numFmtId="41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50" fillId="0" borderId="0"/>
    <xf numFmtId="164" fontId="30" fillId="0" borderId="0" applyFont="0" applyFill="0" applyBorder="0" applyAlignment="0" applyProtection="0"/>
    <xf numFmtId="164" fontId="50" fillId="0" borderId="0" applyFont="0" applyFill="0" applyBorder="0" applyAlignment="0" applyProtection="0"/>
    <xf numFmtId="165" fontId="30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5">
    <xf numFmtId="0" fontId="0" fillId="0" borderId="0" xfId="0"/>
    <xf numFmtId="41" fontId="0" fillId="0" borderId="0" xfId="0" applyNumberFormat="1"/>
    <xf numFmtId="3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5" xfId="0" applyFont="1" applyFill="1" applyBorder="1"/>
    <xf numFmtId="0" fontId="3" fillId="0" borderId="5" xfId="0" applyFont="1" applyBorder="1"/>
    <xf numFmtId="3" fontId="3" fillId="0" borderId="2" xfId="0" applyNumberFormat="1" applyFont="1" applyBorder="1"/>
    <xf numFmtId="41" fontId="3" fillId="0" borderId="5" xfId="1" applyFont="1" applyBorder="1"/>
    <xf numFmtId="167" fontId="2" fillId="2" borderId="5" xfId="0" applyNumberFormat="1" applyFont="1" applyFill="1" applyBorder="1"/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center"/>
    </xf>
    <xf numFmtId="3" fontId="3" fillId="0" borderId="2" xfId="0" applyNumberFormat="1" applyFont="1" applyBorder="1" applyAlignment="1">
      <alignment vertical="center"/>
    </xf>
    <xf numFmtId="41" fontId="3" fillId="0" borderId="5" xfId="0" applyNumberFormat="1" applyFont="1" applyBorder="1" applyAlignment="1">
      <alignment vertical="center"/>
    </xf>
    <xf numFmtId="0" fontId="3" fillId="0" borderId="5" xfId="0" quotePrefix="1" applyFont="1" applyBorder="1" applyAlignment="1">
      <alignment vertical="top" wrapText="1"/>
    </xf>
    <xf numFmtId="168" fontId="2" fillId="2" borderId="5" xfId="0" applyNumberFormat="1" applyFont="1" applyFill="1" applyBorder="1"/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1" fontId="3" fillId="0" borderId="5" xfId="0" applyNumberFormat="1" applyFont="1" applyBorder="1" applyAlignment="1">
      <alignment horizontal="center" vertical="center"/>
    </xf>
    <xf numFmtId="166" fontId="3" fillId="0" borderId="5" xfId="1" applyNumberFormat="1" applyFont="1" applyBorder="1" applyAlignment="1">
      <alignment horizontal="right" vertical="center"/>
    </xf>
    <xf numFmtId="1" fontId="3" fillId="0" borderId="2" xfId="0" applyNumberFormat="1" applyFont="1" applyBorder="1" applyAlignment="1">
      <alignment vertical="center"/>
    </xf>
    <xf numFmtId="0" fontId="3" fillId="0" borderId="0" xfId="0" applyFont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170" fontId="3" fillId="0" borderId="5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" fontId="3" fillId="0" borderId="5" xfId="0" applyNumberFormat="1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top"/>
    </xf>
    <xf numFmtId="0" fontId="2" fillId="0" borderId="7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2" xfId="0" applyFont="1" applyFill="1" applyBorder="1"/>
    <xf numFmtId="0" fontId="2" fillId="2" borderId="3" xfId="0" applyFont="1" applyFill="1" applyBorder="1"/>
    <xf numFmtId="0" fontId="2" fillId="0" borderId="6" xfId="0" applyFont="1" applyBorder="1"/>
    <xf numFmtId="0" fontId="2" fillId="0" borderId="5" xfId="0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0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right" vertical="center"/>
    </xf>
    <xf numFmtId="0" fontId="2" fillId="0" borderId="0" xfId="0" applyFont="1"/>
    <xf numFmtId="0" fontId="0" fillId="0" borderId="5" xfId="0" applyBorder="1"/>
    <xf numFmtId="8" fontId="0" fillId="0" borderId="5" xfId="0" applyNumberFormat="1" applyBorder="1"/>
    <xf numFmtId="0" fontId="5" fillId="0" borderId="5" xfId="0" applyFont="1" applyBorder="1" applyAlignment="1">
      <alignment horizontal="center"/>
    </xf>
    <xf numFmtId="8" fontId="3" fillId="0" borderId="5" xfId="0" applyNumberFormat="1" applyFont="1" applyBorder="1"/>
    <xf numFmtId="41" fontId="0" fillId="0" borderId="5" xfId="1" applyFont="1" applyBorder="1"/>
    <xf numFmtId="168" fontId="2" fillId="2" borderId="4" xfId="0" applyNumberFormat="1" applyFont="1" applyFill="1" applyBorder="1"/>
    <xf numFmtId="166" fontId="2" fillId="2" borderId="5" xfId="0" applyNumberFormat="1" applyFont="1" applyFill="1" applyBorder="1"/>
    <xf numFmtId="0" fontId="3" fillId="0" borderId="5" xfId="0" applyFont="1" applyBorder="1" applyAlignment="1">
      <alignment horizontal="left" vertical="center" wrapText="1"/>
    </xf>
    <xf numFmtId="42" fontId="3" fillId="0" borderId="5" xfId="2025" applyFont="1" applyBorder="1" applyAlignment="1">
      <alignment vertical="center"/>
    </xf>
    <xf numFmtId="43" fontId="0" fillId="0" borderId="0" xfId="0" applyNumberFormat="1"/>
    <xf numFmtId="1" fontId="0" fillId="0" borderId="0" xfId="0" applyNumberFormat="1"/>
    <xf numFmtId="0" fontId="0" fillId="37" borderId="0" xfId="0" applyFill="1"/>
    <xf numFmtId="167" fontId="0" fillId="0" borderId="0" xfId="0" applyNumberFormat="1"/>
    <xf numFmtId="8" fontId="0" fillId="0" borderId="0" xfId="0" applyNumberFormat="1"/>
    <xf numFmtId="41" fontId="0" fillId="0" borderId="5" xfId="0" applyNumberFormat="1" applyBorder="1"/>
    <xf numFmtId="0" fontId="117" fillId="0" borderId="0" xfId="0" applyFont="1"/>
    <xf numFmtId="0" fontId="117" fillId="0" borderId="0" xfId="0" applyFont="1" applyAlignment="1">
      <alignment horizontal="center"/>
    </xf>
    <xf numFmtId="0" fontId="117" fillId="0" borderId="5" xfId="0" applyFont="1" applyBorder="1" applyAlignment="1">
      <alignment horizontal="center"/>
    </xf>
    <xf numFmtId="0" fontId="117" fillId="0" borderId="5" xfId="0" applyFont="1" applyBorder="1"/>
    <xf numFmtId="43" fontId="117" fillId="0" borderId="0" xfId="2026" applyFont="1" applyAlignment="1">
      <alignment horizontal="center"/>
    </xf>
    <xf numFmtId="43" fontId="117" fillId="0" borderId="5" xfId="2026" applyFont="1" applyBorder="1" applyAlignment="1">
      <alignment horizontal="left"/>
    </xf>
    <xf numFmtId="43" fontId="119" fillId="0" borderId="5" xfId="2026" applyFont="1" applyBorder="1" applyAlignment="1">
      <alignment horizontal="left"/>
    </xf>
    <xf numFmtId="0" fontId="119" fillId="0" borderId="5" xfId="0" applyFont="1" applyBorder="1"/>
    <xf numFmtId="0" fontId="0" fillId="39" borderId="0" xfId="0" applyFill="1"/>
    <xf numFmtId="41" fontId="0" fillId="39" borderId="0" xfId="1" applyFont="1" applyFill="1"/>
    <xf numFmtId="41" fontId="0" fillId="39" borderId="0" xfId="0" applyNumberFormat="1" applyFill="1"/>
    <xf numFmtId="0" fontId="0" fillId="39" borderId="5" xfId="0" applyFill="1" applyBorder="1" applyAlignment="1">
      <alignment horizontal="left" vertical="center"/>
    </xf>
    <xf numFmtId="0" fontId="0" fillId="39" borderId="5" xfId="0" applyFill="1" applyBorder="1" applyAlignment="1">
      <alignment horizontal="center" vertical="center"/>
    </xf>
    <xf numFmtId="41" fontId="0" fillId="39" borderId="5" xfId="1" applyFont="1" applyFill="1" applyBorder="1" applyAlignment="1">
      <alignment horizontal="center" vertical="center"/>
    </xf>
    <xf numFmtId="0" fontId="0" fillId="39" borderId="0" xfId="0" applyFill="1" applyAlignment="1">
      <alignment horizontal="left" vertical="center"/>
    </xf>
    <xf numFmtId="41" fontId="0" fillId="39" borderId="0" xfId="1" applyFont="1" applyFill="1" applyBorder="1" applyAlignment="1">
      <alignment horizontal="center" vertical="center"/>
    </xf>
    <xf numFmtId="41" fontId="121" fillId="0" borderId="5" xfId="0" applyNumberFormat="1" applyFont="1" applyBorder="1" applyAlignment="1">
      <alignment horizontal="center" vertical="center"/>
    </xf>
    <xf numFmtId="8" fontId="121" fillId="0" borderId="5" xfId="0" applyNumberFormat="1" applyFont="1" applyBorder="1"/>
    <xf numFmtId="3" fontId="121" fillId="0" borderId="2" xfId="0" applyNumberFormat="1" applyFont="1" applyBorder="1" applyAlignment="1">
      <alignment vertical="center"/>
    </xf>
    <xf numFmtId="0" fontId="121" fillId="0" borderId="5" xfId="0" applyFont="1" applyBorder="1" applyAlignment="1">
      <alignment horizontal="center" vertical="top"/>
    </xf>
    <xf numFmtId="0" fontId="121" fillId="0" borderId="5" xfId="0" applyFont="1" applyBorder="1" applyAlignment="1">
      <alignment vertical="top" wrapText="1"/>
    </xf>
    <xf numFmtId="0" fontId="121" fillId="0" borderId="5" xfId="0" applyFont="1" applyBorder="1" applyAlignment="1">
      <alignment horizontal="left" vertical="center"/>
    </xf>
    <xf numFmtId="41" fontId="121" fillId="0" borderId="5" xfId="1" applyFont="1" applyBorder="1"/>
    <xf numFmtId="207" fontId="120" fillId="0" borderId="0" xfId="2026" applyNumberFormat="1" applyFont="1" applyAlignment="1">
      <alignment horizontal="left"/>
    </xf>
    <xf numFmtId="207" fontId="3" fillId="0" borderId="0" xfId="2026" applyNumberFormat="1" applyFont="1"/>
    <xf numFmtId="207" fontId="3" fillId="0" borderId="5" xfId="2026" applyNumberFormat="1" applyFont="1" applyBorder="1" applyAlignment="1">
      <alignment horizontal="center"/>
    </xf>
    <xf numFmtId="207" fontId="3" fillId="0" borderId="5" xfId="2026" applyNumberFormat="1" applyFont="1" applyBorder="1"/>
    <xf numFmtId="207" fontId="0" fillId="0" borderId="0" xfId="2026" applyNumberFormat="1" applyFont="1"/>
    <xf numFmtId="0" fontId="5" fillId="39" borderId="0" xfId="0" applyFont="1" applyFill="1"/>
    <xf numFmtId="0" fontId="5" fillId="39" borderId="0" xfId="0" applyFont="1" applyFill="1" applyAlignment="1">
      <alignment horizontal="center"/>
    </xf>
    <xf numFmtId="207" fontId="117" fillId="0" borderId="0" xfId="2026" applyNumberFormat="1" applyFont="1"/>
    <xf numFmtId="207" fontId="122" fillId="0" borderId="0" xfId="2026" applyNumberFormat="1" applyFont="1"/>
    <xf numFmtId="207" fontId="0" fillId="0" borderId="5" xfId="2026" applyNumberFormat="1" applyFont="1" applyBorder="1"/>
    <xf numFmtId="0" fontId="0" fillId="40" borderId="0" xfId="0" applyFill="1"/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41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207" fontId="3" fillId="0" borderId="5" xfId="2026" applyNumberFormat="1" applyFont="1" applyBorder="1" applyAlignment="1"/>
    <xf numFmtId="207" fontId="2" fillId="38" borderId="5" xfId="2026" applyNumberFormat="1" applyFont="1" applyFill="1" applyBorder="1" applyAlignment="1">
      <alignment horizontal="center" vertical="center" wrapText="1"/>
    </xf>
    <xf numFmtId="207" fontId="2" fillId="38" borderId="5" xfId="2026" applyNumberFormat="1" applyFont="1" applyFill="1" applyBorder="1" applyAlignment="1">
      <alignment horizontal="center" vertical="center"/>
    </xf>
    <xf numFmtId="208" fontId="3" fillId="0" borderId="0" xfId="2026" applyNumberFormat="1" applyFont="1"/>
    <xf numFmtId="208" fontId="2" fillId="38" borderId="5" xfId="2026" applyNumberFormat="1" applyFont="1" applyFill="1" applyBorder="1" applyAlignment="1">
      <alignment horizontal="center" vertical="center" wrapText="1"/>
    </xf>
    <xf numFmtId="208" fontId="3" fillId="0" borderId="5" xfId="2026" applyNumberFormat="1" applyFont="1" applyBorder="1"/>
    <xf numFmtId="208" fontId="117" fillId="0" borderId="0" xfId="2026" applyNumberFormat="1" applyFont="1"/>
    <xf numFmtId="8" fontId="67" fillId="0" borderId="5" xfId="0" applyNumberFormat="1" applyFont="1" applyBorder="1"/>
    <xf numFmtId="41" fontId="67" fillId="0" borderId="5" xfId="0" applyNumberFormat="1" applyFont="1" applyBorder="1" applyAlignment="1">
      <alignment horizontal="center" vertical="center"/>
    </xf>
    <xf numFmtId="207" fontId="5" fillId="0" borderId="0" xfId="2026" applyNumberFormat="1" applyFont="1" applyAlignment="1">
      <alignment horizontal="center"/>
    </xf>
    <xf numFmtId="207" fontId="3" fillId="0" borderId="5" xfId="2026" applyNumberFormat="1" applyFont="1" applyBorder="1" applyAlignment="1">
      <alignment horizontal="right" vertical="center" indent="2"/>
    </xf>
    <xf numFmtId="0" fontId="3" fillId="0" borderId="2" xfId="0" applyFont="1" applyBorder="1" applyAlignment="1">
      <alignment horizontal="right" vertical="center"/>
    </xf>
    <xf numFmtId="207" fontId="3" fillId="0" borderId="5" xfId="0" applyNumberFormat="1" applyFont="1" applyBorder="1" applyAlignment="1">
      <alignment horizontal="center"/>
    </xf>
    <xf numFmtId="168" fontId="2" fillId="42" borderId="5" xfId="0" applyNumberFormat="1" applyFont="1" applyFill="1" applyBorder="1"/>
    <xf numFmtId="4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1" fontId="3" fillId="0" borderId="0" xfId="1" applyFont="1" applyBorder="1"/>
    <xf numFmtId="167" fontId="2" fillId="2" borderId="0" xfId="0" applyNumberFormat="1" applyFont="1" applyFill="1"/>
    <xf numFmtId="168" fontId="2" fillId="2" borderId="0" xfId="0" applyNumberFormat="1" applyFont="1" applyFill="1"/>
    <xf numFmtId="207" fontId="3" fillId="0" borderId="0" xfId="0" applyNumberFormat="1" applyFont="1" applyAlignment="1">
      <alignment horizontal="center"/>
    </xf>
    <xf numFmtId="166" fontId="3" fillId="0" borderId="0" xfId="1" applyNumberFormat="1" applyFont="1" applyBorder="1" applyAlignment="1">
      <alignment horizontal="right" vertical="center"/>
    </xf>
    <xf numFmtId="166" fontId="2" fillId="2" borderId="0" xfId="0" applyNumberFormat="1" applyFont="1" applyFill="1"/>
    <xf numFmtId="207" fontId="2" fillId="0" borderId="0" xfId="2026" applyNumberFormat="1" applyFont="1"/>
    <xf numFmtId="207" fontId="2" fillId="0" borderId="0" xfId="2026" applyNumberFormat="1" applyFont="1" applyAlignment="1">
      <alignment horizontal="center"/>
    </xf>
    <xf numFmtId="41" fontId="2" fillId="0" borderId="0" xfId="0" applyNumberFormat="1" applyFont="1" applyAlignment="1">
      <alignment horizontal="center"/>
    </xf>
    <xf numFmtId="3" fontId="3" fillId="2" borderId="0" xfId="0" applyNumberFormat="1" applyFont="1" applyFill="1"/>
    <xf numFmtId="3" fontId="3" fillId="0" borderId="0" xfId="2026" applyNumberFormat="1" applyFont="1"/>
    <xf numFmtId="43" fontId="3" fillId="0" borderId="0" xfId="2026" applyFont="1"/>
    <xf numFmtId="43" fontId="93" fillId="0" borderId="5" xfId="2026" applyFont="1" applyBorder="1" applyAlignment="1">
      <alignment horizontal="left"/>
    </xf>
    <xf numFmtId="0" fontId="93" fillId="0" borderId="5" xfId="0" applyFont="1" applyBorder="1"/>
    <xf numFmtId="207" fontId="118" fillId="0" borderId="0" xfId="2026" applyNumberFormat="1" applyFont="1"/>
    <xf numFmtId="43" fontId="118" fillId="0" borderId="5" xfId="2026" applyFont="1" applyBorder="1" applyAlignment="1">
      <alignment horizontal="left"/>
    </xf>
    <xf numFmtId="41" fontId="3" fillId="43" borderId="5" xfId="1" applyFont="1" applyFill="1" applyBorder="1"/>
    <xf numFmtId="168" fontId="2" fillId="44" borderId="0" xfId="0" applyNumberFormat="1" applyFont="1" applyFill="1"/>
    <xf numFmtId="207" fontId="2" fillId="45" borderId="0" xfId="2026" applyNumberFormat="1" applyFont="1" applyFill="1"/>
    <xf numFmtId="41" fontId="123" fillId="43" borderId="5" xfId="1" applyFont="1" applyFill="1" applyBorder="1"/>
    <xf numFmtId="166" fontId="124" fillId="2" borderId="0" xfId="0" applyNumberFormat="1" applyFont="1" applyFill="1"/>
    <xf numFmtId="207" fontId="2" fillId="0" borderId="0" xfId="2026" applyNumberFormat="1" applyFont="1" applyAlignment="1">
      <alignment horizontal="center" vertical="center"/>
    </xf>
    <xf numFmtId="207" fontId="3" fillId="0" borderId="0" xfId="2026" applyNumberFormat="1" applyFont="1" applyBorder="1"/>
    <xf numFmtId="207" fontId="3" fillId="2" borderId="0" xfId="2026" applyNumberFormat="1" applyFont="1" applyFill="1"/>
    <xf numFmtId="207" fontId="2" fillId="0" borderId="0" xfId="2026" applyNumberFormat="1" applyFont="1" applyAlignment="1">
      <alignment horizontal="left"/>
    </xf>
    <xf numFmtId="207" fontId="2" fillId="2" borderId="0" xfId="2026" applyNumberFormat="1" applyFont="1" applyFill="1"/>
    <xf numFmtId="207" fontId="3" fillId="0" borderId="0" xfId="2026" applyNumberFormat="1" applyFont="1" applyAlignment="1">
      <alignment horizontal="center"/>
    </xf>
    <xf numFmtId="207" fontId="3" fillId="46" borderId="0" xfId="2026" applyNumberFormat="1" applyFont="1" applyFill="1"/>
    <xf numFmtId="0" fontId="3" fillId="2" borderId="0" xfId="0" applyFont="1" applyFill="1"/>
    <xf numFmtId="41" fontId="123" fillId="43" borderId="2" xfId="1" applyFont="1" applyFill="1" applyBorder="1"/>
    <xf numFmtId="167" fontId="2" fillId="2" borderId="2" xfId="0" applyNumberFormat="1" applyFont="1" applyFill="1" applyBorder="1"/>
    <xf numFmtId="41" fontId="3" fillId="0" borderId="2" xfId="1" applyFont="1" applyBorder="1"/>
    <xf numFmtId="41" fontId="3" fillId="43" borderId="2" xfId="1" applyFont="1" applyFill="1" applyBorder="1"/>
    <xf numFmtId="168" fontId="2" fillId="2" borderId="2" xfId="0" applyNumberFormat="1" applyFont="1" applyFill="1" applyBorder="1"/>
    <xf numFmtId="168" fontId="2" fillId="2" borderId="3" xfId="0" applyNumberFormat="1" applyFont="1" applyFill="1" applyBorder="1"/>
    <xf numFmtId="207" fontId="3" fillId="0" borderId="2" xfId="0" applyNumberFormat="1" applyFont="1" applyBorder="1" applyAlignment="1">
      <alignment horizontal="center"/>
    </xf>
    <xf numFmtId="166" fontId="3" fillId="0" borderId="2" xfId="1" applyNumberFormat="1" applyFont="1" applyBorder="1" applyAlignment="1">
      <alignment horizontal="right" vertical="center"/>
    </xf>
    <xf numFmtId="166" fontId="2" fillId="2" borderId="2" xfId="0" applyNumberFormat="1" applyFont="1" applyFill="1" applyBorder="1"/>
    <xf numFmtId="207" fontId="2" fillId="0" borderId="5" xfId="2026" applyNumberFormat="1" applyFont="1" applyBorder="1" applyAlignment="1">
      <alignment horizontal="center" vertical="center"/>
    </xf>
    <xf numFmtId="41" fontId="3" fillId="0" borderId="5" xfId="1" applyFont="1" applyBorder="1" applyAlignment="1">
      <alignment vertical="center"/>
    </xf>
    <xf numFmtId="207" fontId="3" fillId="0" borderId="5" xfId="2026" applyNumberFormat="1" applyFont="1" applyBorder="1" applyAlignment="1">
      <alignment vertical="center"/>
    </xf>
    <xf numFmtId="207" fontId="2" fillId="0" borderId="5" xfId="2026" applyNumberFormat="1" applyFont="1" applyBorder="1" applyAlignment="1">
      <alignment vertical="center"/>
    </xf>
    <xf numFmtId="3" fontId="3" fillId="2" borderId="5" xfId="0" applyNumberFormat="1" applyFont="1" applyFill="1" applyBorder="1" applyAlignment="1">
      <alignment vertical="center"/>
    </xf>
    <xf numFmtId="207" fontId="3" fillId="2" borderId="5" xfId="2026" applyNumberFormat="1" applyFont="1" applyFill="1" applyBorder="1" applyAlignment="1">
      <alignment vertical="center"/>
    </xf>
    <xf numFmtId="3" fontId="3" fillId="0" borderId="5" xfId="2026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207" fontId="2" fillId="0" borderId="5" xfId="2026" applyNumberFormat="1" applyFont="1" applyBorder="1" applyAlignment="1">
      <alignment horizontal="left" vertical="center"/>
    </xf>
    <xf numFmtId="41" fontId="2" fillId="0" borderId="5" xfId="0" applyNumberFormat="1" applyFont="1" applyBorder="1" applyAlignment="1">
      <alignment horizontal="center" vertical="center"/>
    </xf>
    <xf numFmtId="207" fontId="2" fillId="2" borderId="5" xfId="2026" applyNumberFormat="1" applyFont="1" applyFill="1" applyBorder="1" applyAlignment="1">
      <alignment vertical="center"/>
    </xf>
    <xf numFmtId="168" fontId="2" fillId="2" borderId="5" xfId="0" applyNumberFormat="1" applyFont="1" applyFill="1" applyBorder="1" applyAlignment="1">
      <alignment vertical="center"/>
    </xf>
    <xf numFmtId="207" fontId="3" fillId="0" borderId="5" xfId="0" applyNumberFormat="1" applyFont="1" applyBorder="1" applyAlignment="1">
      <alignment horizontal="center" vertical="center"/>
    </xf>
    <xf numFmtId="207" fontId="3" fillId="0" borderId="5" xfId="2026" applyNumberFormat="1" applyFont="1" applyBorder="1" applyAlignment="1">
      <alignment horizontal="center" vertical="center"/>
    </xf>
    <xf numFmtId="166" fontId="124" fillId="2" borderId="5" xfId="0" applyNumberFormat="1" applyFont="1" applyFill="1" applyBorder="1" applyAlignment="1">
      <alignment vertical="center"/>
    </xf>
    <xf numFmtId="207" fontId="2" fillId="43" borderId="5" xfId="2026" applyNumberFormat="1" applyFont="1" applyFill="1" applyBorder="1" applyAlignment="1">
      <alignment vertical="center"/>
    </xf>
    <xf numFmtId="0" fontId="2" fillId="47" borderId="0" xfId="0" applyFont="1" applyFill="1"/>
    <xf numFmtId="207" fontId="2" fillId="47" borderId="0" xfId="2026" applyNumberFormat="1" applyFont="1" applyFill="1"/>
    <xf numFmtId="207" fontId="2" fillId="42" borderId="0" xfId="2026" applyNumberFormat="1" applyFont="1" applyFill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 applyAlignment="1">
      <alignment horizontal="right"/>
    </xf>
    <xf numFmtId="207" fontId="2" fillId="0" borderId="5" xfId="2026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18" fillId="0" borderId="2" xfId="0" applyFont="1" applyBorder="1" applyAlignment="1">
      <alignment horizontal="center"/>
    </xf>
    <xf numFmtId="0" fontId="118" fillId="0" borderId="4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207" fontId="120" fillId="0" borderId="0" xfId="2026" applyNumberFormat="1" applyFont="1" applyAlignment="1">
      <alignment horizontal="left"/>
    </xf>
  </cellXfs>
  <cellStyles count="2027">
    <cellStyle name="‚" xfId="5" xr:uid="{00000000-0005-0000-0000-000002000000}"/>
    <cellStyle name="„" xfId="6" xr:uid="{00000000-0005-0000-0000-000003000000}"/>
    <cellStyle name="…" xfId="7" xr:uid="{00000000-0005-0000-0000-000001000000}"/>
    <cellStyle name="†" xfId="8" xr:uid="{00000000-0005-0000-0000-000004000000}"/>
    <cellStyle name="‡" xfId="9" xr:uid="{00000000-0005-0000-0000-000005000000}"/>
    <cellStyle name="‡ - Style1" xfId="10" xr:uid="{00000000-0005-0000-0000-000006000000}"/>
    <cellStyle name="‡_1. LAP. TUNGGUR DWI" xfId="11" xr:uid="{00000000-0005-0000-0000-000007000000}"/>
    <cellStyle name="‡_1. LAPORAN TUNGGUR" xfId="12" xr:uid="{00000000-0005-0000-0000-000008000000}"/>
    <cellStyle name="‡_1. PERENCANAAN PENINGKATAN JALAN POROS DESA 2011 (ATAS)" xfId="13" xr:uid="{00000000-0005-0000-0000-000009000000}"/>
    <cellStyle name="‡_2. PERENCANAAN PENINGKATAN JALAN POROS DESA 2011 (BAWAH)" xfId="14" xr:uid="{00000000-0005-0000-0000-00000A000000}"/>
    <cellStyle name="‡_3.RAB Jbt Tambakmas" xfId="15" xr:uid="{00000000-0005-0000-0000-00000B000000}"/>
    <cellStyle name="‡_5.NATAH FIX" xfId="16" xr:uid="{00000000-0005-0000-0000-00000C000000}"/>
    <cellStyle name="‡_7.RAB JBT PENDEM fix analisa pak 09" xfId="17" xr:uid="{00000000-0005-0000-0000-00000D000000}"/>
    <cellStyle name="‡_Backup BANYUDONO - BANJAREJO 1" xfId="18" xr:uid="{00000000-0005-0000-0000-00000E000000}"/>
    <cellStyle name="‡_Backup BANYUDONO - BANJAREJO 1_1. LAP. TUNGGUR DWI" xfId="19" xr:uid="{00000000-0005-0000-0000-00000F000000}"/>
    <cellStyle name="‡_Backup BANYUDONO - BANJAREJO 1_1. LAPORAN TUNGGUR" xfId="20" xr:uid="{00000000-0005-0000-0000-000010000000}"/>
    <cellStyle name="‡_Backup BANYUDONO - BANJAREJO 1_FORMAT LAPORAN" xfId="21" xr:uid="{00000000-0005-0000-0000-000011000000}"/>
    <cellStyle name="‡_Backup BANYUDONO - BANJAREJO 1_Kalangketi ADM" xfId="22" xr:uid="{00000000-0005-0000-0000-000012000000}"/>
    <cellStyle name="‡_Backup BANYUDONO - BANJAREJO 1_RAB Jbt Bogem CCO 1" xfId="23" xr:uid="{00000000-0005-0000-0000-000013000000}"/>
    <cellStyle name="‡_Backup BANYUDONO - BANJAREJO 1_Rab paksuryo" xfId="24" xr:uid="{00000000-0005-0000-0000-000014000000}"/>
    <cellStyle name="‡_Backup BANYUDONO - BANJAREJO 1_Rab paksuryo_1. LAPORAN TUNGGUR" xfId="25" xr:uid="{00000000-0005-0000-0000-000015000000}"/>
    <cellStyle name="‡_Backup BANYUDONO - BANJAREJO 1_Rab paksuryo_FORMAT LAPORAN" xfId="26" xr:uid="{00000000-0005-0000-0000-000016000000}"/>
    <cellStyle name="‡_Backup BANYUDONO - BANJAREJO 1_SDA  2010 rev" xfId="27" xr:uid="{00000000-0005-0000-0000-000017000000}"/>
    <cellStyle name="‡_bc Tulung2" xfId="28" xr:uid="{00000000-0005-0000-0000-000018000000}"/>
    <cellStyle name="‡_bc Tulung2_1. LAP. TUNGGUR DWI" xfId="29" xr:uid="{00000000-0005-0000-0000-000019000000}"/>
    <cellStyle name="‡_bc Tulung2_1. LAPORAN TUNGGUR" xfId="30" xr:uid="{00000000-0005-0000-0000-00001A000000}"/>
    <cellStyle name="‡_bc Tulung2_FORMAT LAPORAN" xfId="31" xr:uid="{00000000-0005-0000-0000-00001B000000}"/>
    <cellStyle name="‡_bc Tulung2_Kalangketi ADM" xfId="32" xr:uid="{00000000-0005-0000-0000-00001C000000}"/>
    <cellStyle name="‡_bc Tulung2_RAB Jbt Bogem CCO 1" xfId="33" xr:uid="{00000000-0005-0000-0000-00001D000000}"/>
    <cellStyle name="‡_bc Tulung2_SDA  2010 rev" xfId="34" xr:uid="{00000000-0005-0000-0000-00001E000000}"/>
    <cellStyle name="‡_BOOK1" xfId="35" xr:uid="{00000000-0005-0000-0000-00001F000000}"/>
    <cellStyle name="‡_BOOK1 2" xfId="36" xr:uid="{00000000-0005-0000-0000-000020000000}"/>
    <cellStyle name="‡_BOOK1 3" xfId="37" xr:uid="{00000000-0005-0000-0000-000021000000}"/>
    <cellStyle name="‡_buck up BULU - KEDUNGGUWO" xfId="38" xr:uid="{00000000-0005-0000-0000-000022000000}"/>
    <cellStyle name="‡_buck up Ngaglik pasangan beton" xfId="39" xr:uid="{00000000-0005-0000-0000-000023000000}"/>
    <cellStyle name="‡_c.RAB JBt selotinatah fix analisa pak 09" xfId="40" xr:uid="{00000000-0005-0000-0000-000024000000}"/>
    <cellStyle name="‡_Copy of ANALISMASTER-2011 (BAWAH)-1" xfId="41" xr:uid="{00000000-0005-0000-0000-000025000000}"/>
    <cellStyle name="‡_FORMAT LAPORAN" xfId="42" xr:uid="{00000000-0005-0000-0000-000026000000}"/>
    <cellStyle name="‡_Galian C troar krrj" xfId="43" xr:uid="{00000000-0005-0000-0000-000027000000}"/>
    <cellStyle name="‡_LAPORAN OKE" xfId="44" xr:uid="{00000000-0005-0000-0000-000028000000}"/>
    <cellStyle name="‡_LAPORAN OKE_Kalangketi ADM" xfId="45" xr:uid="{00000000-0005-0000-0000-000029000000}"/>
    <cellStyle name="‡_NATAH" xfId="46" xr:uid="{00000000-0005-0000-0000-00002A000000}"/>
    <cellStyle name="‡_Nguntoronadi Simbtan FILE RUMAH" xfId="47" xr:uid="{00000000-0005-0000-0000-00002B000000}"/>
    <cellStyle name="‡_Paket Sukomoro siso" xfId="48" xr:uid="{00000000-0005-0000-0000-00002C000000}"/>
    <cellStyle name="‡_Paket Sukomoro siso_1. LAP. TUNGGUR DWI" xfId="49" xr:uid="{00000000-0005-0000-0000-00002D000000}"/>
    <cellStyle name="‡_Paket Sukomoro siso_1. LAPORAN TUNGGUR" xfId="50" xr:uid="{00000000-0005-0000-0000-00002E000000}"/>
    <cellStyle name="‡_Paket Sukomoro siso_FORMAT LAPORAN" xfId="51" xr:uid="{00000000-0005-0000-0000-00002F000000}"/>
    <cellStyle name="‡_Paket Sukomoro siso_Kalangketi ADM" xfId="52" xr:uid="{00000000-0005-0000-0000-000030000000}"/>
    <cellStyle name="‡_Paket Sukomoro siso_RAB Jbt Bogem CCO 1" xfId="53" xr:uid="{00000000-0005-0000-0000-000031000000}"/>
    <cellStyle name="‡_Paket Sukomoro siso_SDA  2010 rev" xfId="54" xr:uid="{00000000-0005-0000-0000-000032000000}"/>
    <cellStyle name="‡_penawaran at bedoyo" xfId="55" xr:uid="{00000000-0005-0000-0000-000033000000}"/>
    <cellStyle name="‡_PLDT" xfId="56" xr:uid="{00000000-0005-0000-0000-000034000000}"/>
    <cellStyle name="‡_RAB Jbt Bogem CCO 1" xfId="57" xr:uid="{00000000-0005-0000-0000-000035000000}"/>
    <cellStyle name="‡_RAB Jbt Preh CCO 1" xfId="58" xr:uid="{00000000-0005-0000-0000-000036000000}"/>
    <cellStyle name="‡_SDA  2010 rev" xfId="59" xr:uid="{00000000-0005-0000-0000-000037000000}"/>
    <cellStyle name="‡_STA- - Style2" xfId="60" xr:uid="{00000000-0005-0000-0000-000038000000}"/>
    <cellStyle name="‡_STA-DRP" xfId="61" xr:uid="{00000000-0005-0000-0000-000039000000}"/>
    <cellStyle name="‡_STA-DRP_1. LAP. TUNGGUR DWI" xfId="62" xr:uid="{00000000-0005-0000-0000-00003A000000}"/>
    <cellStyle name="‡_STA-DRP_1. LAPORAN TUNGGUR" xfId="63" xr:uid="{00000000-0005-0000-0000-00003B000000}"/>
    <cellStyle name="‡_STA-DRP_1. PERENCANAAN PENINGKATAN JALAN POROS DESA 2011 (ATAS)" xfId="64" xr:uid="{00000000-0005-0000-0000-00003C000000}"/>
    <cellStyle name="‡_STA-DRP_2. PERENCANAAN PENINGKATAN JALAN POROS DESA 2011 (BAWAH)" xfId="65" xr:uid="{00000000-0005-0000-0000-00003D000000}"/>
    <cellStyle name="‡_STA-DRP_3.RAB Jbt Tambakmas" xfId="66" xr:uid="{00000000-0005-0000-0000-00003E000000}"/>
    <cellStyle name="‡_STA-DRP_5.NATAH FIX" xfId="67" xr:uid="{00000000-0005-0000-0000-00003F000000}"/>
    <cellStyle name="‡_STA-DRP_7.RAB JBT PENDEM fix analisa pak 09" xfId="68" xr:uid="{00000000-0005-0000-0000-000040000000}"/>
    <cellStyle name="‡_STA-DRP_Backup BANYUDONO - BANJAREJO 1" xfId="69" xr:uid="{00000000-0005-0000-0000-000041000000}"/>
    <cellStyle name="‡_STA-DRP_Backup BANYUDONO - BANJAREJO 1_1. LAP. TUNGGUR DWI" xfId="70" xr:uid="{00000000-0005-0000-0000-000042000000}"/>
    <cellStyle name="‡_STA-DRP_Backup BANYUDONO - BANJAREJO 1_1. LAPORAN TUNGGUR" xfId="71" xr:uid="{00000000-0005-0000-0000-000043000000}"/>
    <cellStyle name="‡_STA-DRP_Backup BANYUDONO - BANJAREJO 1_FORMAT LAPORAN" xfId="72" xr:uid="{00000000-0005-0000-0000-000044000000}"/>
    <cellStyle name="‡_STA-DRP_Backup BANYUDONO - BANJAREJO 1_Kalangketi ADM" xfId="73" xr:uid="{00000000-0005-0000-0000-000045000000}"/>
    <cellStyle name="‡_STA-DRP_Backup BANYUDONO - BANJAREJO 1_RAB Jbt Bogem CCO 1" xfId="74" xr:uid="{00000000-0005-0000-0000-000046000000}"/>
    <cellStyle name="‡_STA-DRP_Backup BANYUDONO - BANJAREJO 1_Rab paksuryo" xfId="75" xr:uid="{00000000-0005-0000-0000-000047000000}"/>
    <cellStyle name="‡_STA-DRP_Backup BANYUDONO - BANJAREJO 1_Rab paksuryo_1. LAPORAN TUNGGUR" xfId="76" xr:uid="{00000000-0005-0000-0000-000048000000}"/>
    <cellStyle name="‡_STA-DRP_Backup BANYUDONO - BANJAREJO 1_Rab paksuryo_FORMAT LAPORAN" xfId="77" xr:uid="{00000000-0005-0000-0000-000049000000}"/>
    <cellStyle name="‡_STA-DRP_Backup BANYUDONO - BANJAREJO 1_SDA  2010 rev" xfId="78" xr:uid="{00000000-0005-0000-0000-00004A000000}"/>
    <cellStyle name="‡_STA-DRP_bc Tulung2" xfId="79" xr:uid="{00000000-0005-0000-0000-00004B000000}"/>
    <cellStyle name="‡_STA-DRP_bc Tulung2_1. LAP. TUNGGUR DWI" xfId="80" xr:uid="{00000000-0005-0000-0000-00004C000000}"/>
    <cellStyle name="‡_STA-DRP_bc Tulung2_1. LAPORAN TUNGGUR" xfId="81" xr:uid="{00000000-0005-0000-0000-00004D000000}"/>
    <cellStyle name="‡_STA-DRP_bc Tulung2_FORMAT LAPORAN" xfId="82" xr:uid="{00000000-0005-0000-0000-00004E000000}"/>
    <cellStyle name="‡_STA-DRP_bc Tulung2_Kalangketi ADM" xfId="83" xr:uid="{00000000-0005-0000-0000-00004F000000}"/>
    <cellStyle name="‡_STA-DRP_bc Tulung2_RAB Jbt Bogem CCO 1" xfId="84" xr:uid="{00000000-0005-0000-0000-000050000000}"/>
    <cellStyle name="‡_STA-DRP_bc Tulung2_SDA  2010 rev" xfId="85" xr:uid="{00000000-0005-0000-0000-000051000000}"/>
    <cellStyle name="‡_STA-DRP_BOOK1" xfId="86" xr:uid="{00000000-0005-0000-0000-000052000000}"/>
    <cellStyle name="‡_STA-DRP_BOOK1 2" xfId="87" xr:uid="{00000000-0005-0000-0000-000053000000}"/>
    <cellStyle name="‡_STA-DRP_BOOK1 3" xfId="88" xr:uid="{00000000-0005-0000-0000-000054000000}"/>
    <cellStyle name="‡_STA-DRP_buck up BULU - KEDUNGGUWO" xfId="89" xr:uid="{00000000-0005-0000-0000-000055000000}"/>
    <cellStyle name="‡_STA-DRP_buck up Ngaglik pasangan beton" xfId="90" xr:uid="{00000000-0005-0000-0000-000056000000}"/>
    <cellStyle name="‡_STA-DRP_c.RAB JBt selotinatah fix analisa pak 09" xfId="91" xr:uid="{00000000-0005-0000-0000-000057000000}"/>
    <cellStyle name="‡_STA-DRP_Copy of ANALISMASTER-2011 (BAWAH)-1" xfId="92" xr:uid="{00000000-0005-0000-0000-000058000000}"/>
    <cellStyle name="‡_STA-DRP_FORMAT LAPORAN" xfId="93" xr:uid="{00000000-0005-0000-0000-000059000000}"/>
    <cellStyle name="‡_STA-DRP_Galian C troar krrj" xfId="94" xr:uid="{00000000-0005-0000-0000-00005A000000}"/>
    <cellStyle name="‡_STA-DRP_LAPORAN OKE" xfId="95" xr:uid="{00000000-0005-0000-0000-00005B000000}"/>
    <cellStyle name="‡_STA-DRP_LAPORAN OKE_Kalangketi ADM" xfId="96" xr:uid="{00000000-0005-0000-0000-00005C000000}"/>
    <cellStyle name="‡_STA-DRP_NATAH" xfId="97" xr:uid="{00000000-0005-0000-0000-00005D000000}"/>
    <cellStyle name="‡_STA-DRP_Nguntoronadi Simbtan FILE RUMAH" xfId="98" xr:uid="{00000000-0005-0000-0000-00005E000000}"/>
    <cellStyle name="‡_STA-DRP_Paket Sukomoro siso" xfId="99" xr:uid="{00000000-0005-0000-0000-00005F000000}"/>
    <cellStyle name="‡_STA-DRP_Paket Sukomoro siso_1. LAP. TUNGGUR DWI" xfId="100" xr:uid="{00000000-0005-0000-0000-000060000000}"/>
    <cellStyle name="‡_STA-DRP_Paket Sukomoro siso_1. LAPORAN TUNGGUR" xfId="101" xr:uid="{00000000-0005-0000-0000-000061000000}"/>
    <cellStyle name="‡_STA-DRP_Paket Sukomoro siso_FORMAT LAPORAN" xfId="102" xr:uid="{00000000-0005-0000-0000-000062000000}"/>
    <cellStyle name="‡_STA-DRP_Paket Sukomoro siso_Kalangketi ADM" xfId="103" xr:uid="{00000000-0005-0000-0000-000063000000}"/>
    <cellStyle name="‡_STA-DRP_Paket Sukomoro siso_RAB Jbt Bogem CCO 1" xfId="104" xr:uid="{00000000-0005-0000-0000-000064000000}"/>
    <cellStyle name="‡_STA-DRP_Paket Sukomoro siso_SDA  2010 rev" xfId="105" xr:uid="{00000000-0005-0000-0000-000065000000}"/>
    <cellStyle name="‡_STA-DRP_penawaran at bedoyo" xfId="106" xr:uid="{00000000-0005-0000-0000-000066000000}"/>
    <cellStyle name="‡_STA-DRP_RAB Jbt Bogem CCO 1" xfId="107" xr:uid="{00000000-0005-0000-0000-000067000000}"/>
    <cellStyle name="‡_STA-DRP_RAB Jbt Preh CCO 1" xfId="108" xr:uid="{00000000-0005-0000-0000-000068000000}"/>
    <cellStyle name="‡_STA-DRP_SDA  2010 rev" xfId="109" xr:uid="{00000000-0005-0000-0000-000069000000}"/>
    <cellStyle name="‡_STA-DRP_vol gandong 3 thp 2" xfId="110" xr:uid="{00000000-0005-0000-0000-00006A000000}"/>
    <cellStyle name="‡_STA-DRP_vol gandong 3 thp 2_1. LAP. TUNGGUR DWI" xfId="111" xr:uid="{00000000-0005-0000-0000-00006B000000}"/>
    <cellStyle name="‡_STA-DRP_vol gandong 3 thp 2_1. LAPORAN TUNGGUR" xfId="112" xr:uid="{00000000-0005-0000-0000-00006C000000}"/>
    <cellStyle name="‡_STA-DRP_vol gandong 3 thp 2_FORMAT LAPORAN" xfId="113" xr:uid="{00000000-0005-0000-0000-00006D000000}"/>
    <cellStyle name="‡_STA-DRP_vol gandong 3 thp 2_Kalangketi ADM" xfId="114" xr:uid="{00000000-0005-0000-0000-00006E000000}"/>
    <cellStyle name="‡_STA-DRP_vol gandong 3 thp 2_RAB Jbt Bogem CCO 1" xfId="115" xr:uid="{00000000-0005-0000-0000-00006F000000}"/>
    <cellStyle name="‡_STA-DRP_vol gandong 3 thp 2_SDA  2010 rev" xfId="116" xr:uid="{00000000-0005-0000-0000-000070000000}"/>
    <cellStyle name="‡_STA-DRP_VOL GANDONG PU" xfId="117" xr:uid="{00000000-0005-0000-0000-000071000000}"/>
    <cellStyle name="‡_STA-DRP_VOL GANDONG PU_1. LAP. TUNGGUR DWI" xfId="118" xr:uid="{00000000-0005-0000-0000-000072000000}"/>
    <cellStyle name="‡_vol gandong 3 thp 2" xfId="119" xr:uid="{00000000-0005-0000-0000-000073000000}"/>
    <cellStyle name="‡_vol gandong 3 thp 2_1. LAP. TUNGGUR DWI" xfId="120" xr:uid="{00000000-0005-0000-0000-000074000000}"/>
    <cellStyle name="‡_vol gandong 3 thp 2_1. LAPORAN TUNGGUR" xfId="121" xr:uid="{00000000-0005-0000-0000-000075000000}"/>
    <cellStyle name="‡_vol gandong 3 thp 2_FORMAT LAPORAN" xfId="122" xr:uid="{00000000-0005-0000-0000-000076000000}"/>
    <cellStyle name="‡_vol gandong 3 thp 2_Kalangketi ADM" xfId="123" xr:uid="{00000000-0005-0000-0000-000077000000}"/>
    <cellStyle name="‡_vol gandong 3 thp 2_RAB Jbt Bogem CCO 1" xfId="124" xr:uid="{00000000-0005-0000-0000-000078000000}"/>
    <cellStyle name="‡_vol gandong 3 thp 2_SDA  2010 rev" xfId="125" xr:uid="{00000000-0005-0000-0000-000079000000}"/>
    <cellStyle name="‡_VOL GANDONG PU" xfId="126" xr:uid="{00000000-0005-0000-0000-00007A000000}"/>
    <cellStyle name="‡_VOL GANDONG PU_1. LAP. TUNGGUR DWI" xfId="127" xr:uid="{00000000-0005-0000-0000-00007B000000}"/>
    <cellStyle name="" xfId="128" xr:uid="{00000000-0005-0000-0000-000000000000}"/>
    <cellStyle name="0,0_x000d__x000a_NA_x000d__x000a_" xfId="129" xr:uid="{00000000-0005-0000-0000-00007C000000}"/>
    <cellStyle name="0,0_x000d__x000a_NA_x000d__x000a_ 2" xfId="130" xr:uid="{00000000-0005-0000-0000-00007D000000}"/>
    <cellStyle name="0,0_x000d__x000a_NA_x000d__x000a_ 2 2" xfId="131" xr:uid="{00000000-0005-0000-0000-00007E000000}"/>
    <cellStyle name="18" xfId="132" xr:uid="{00000000-0005-0000-0000-00007F000000}"/>
    <cellStyle name="¹éºÐÀ²_±âÅ¸" xfId="133" xr:uid="{00000000-0005-0000-0000-000080000000}"/>
    <cellStyle name="20% - Accent1 10" xfId="134" xr:uid="{00000000-0005-0000-0000-000081000000}"/>
    <cellStyle name="20% - Accent1 11" xfId="135" xr:uid="{00000000-0005-0000-0000-000082000000}"/>
    <cellStyle name="20% - Accent1 12" xfId="136" xr:uid="{00000000-0005-0000-0000-000083000000}"/>
    <cellStyle name="20% - Accent1 13" xfId="137" xr:uid="{00000000-0005-0000-0000-000084000000}"/>
    <cellStyle name="20% - Accent1 14" xfId="138" xr:uid="{00000000-0005-0000-0000-000085000000}"/>
    <cellStyle name="20% - Accent1 2" xfId="139" xr:uid="{00000000-0005-0000-0000-000086000000}"/>
    <cellStyle name="20% - Accent1 3" xfId="140" xr:uid="{00000000-0005-0000-0000-000087000000}"/>
    <cellStyle name="20% - Accent1 4" xfId="141" xr:uid="{00000000-0005-0000-0000-000088000000}"/>
    <cellStyle name="20% - Accent1 5" xfId="142" xr:uid="{00000000-0005-0000-0000-000089000000}"/>
    <cellStyle name="20% - Accent1 6" xfId="143" xr:uid="{00000000-0005-0000-0000-00008A000000}"/>
    <cellStyle name="20% - Accent1 7" xfId="144" xr:uid="{00000000-0005-0000-0000-00008B000000}"/>
    <cellStyle name="20% - Accent1 8" xfId="145" xr:uid="{00000000-0005-0000-0000-00008C000000}"/>
    <cellStyle name="20% - Accent1 9" xfId="146" xr:uid="{00000000-0005-0000-0000-00008D000000}"/>
    <cellStyle name="20% - Accent2 10" xfId="147" xr:uid="{00000000-0005-0000-0000-00008E000000}"/>
    <cellStyle name="20% - Accent2 11" xfId="148" xr:uid="{00000000-0005-0000-0000-00008F000000}"/>
    <cellStyle name="20% - Accent2 12" xfId="149" xr:uid="{00000000-0005-0000-0000-000090000000}"/>
    <cellStyle name="20% - Accent2 13" xfId="150" xr:uid="{00000000-0005-0000-0000-000091000000}"/>
    <cellStyle name="20% - Accent2 14" xfId="151" xr:uid="{00000000-0005-0000-0000-000092000000}"/>
    <cellStyle name="20% - Accent2 2" xfId="152" xr:uid="{00000000-0005-0000-0000-000093000000}"/>
    <cellStyle name="20% - Accent2 3" xfId="153" xr:uid="{00000000-0005-0000-0000-000094000000}"/>
    <cellStyle name="20% - Accent2 4" xfId="154" xr:uid="{00000000-0005-0000-0000-000095000000}"/>
    <cellStyle name="20% - Accent2 5" xfId="155" xr:uid="{00000000-0005-0000-0000-000096000000}"/>
    <cellStyle name="20% - Accent2 6" xfId="156" xr:uid="{00000000-0005-0000-0000-000097000000}"/>
    <cellStyle name="20% - Accent2 7" xfId="157" xr:uid="{00000000-0005-0000-0000-000098000000}"/>
    <cellStyle name="20% - Accent2 8" xfId="158" xr:uid="{00000000-0005-0000-0000-000099000000}"/>
    <cellStyle name="20% - Accent2 9" xfId="159" xr:uid="{00000000-0005-0000-0000-00009A000000}"/>
    <cellStyle name="20% - Accent3 10" xfId="160" xr:uid="{00000000-0005-0000-0000-00009B000000}"/>
    <cellStyle name="20% - Accent3 11" xfId="161" xr:uid="{00000000-0005-0000-0000-00009C000000}"/>
    <cellStyle name="20% - Accent3 12" xfId="162" xr:uid="{00000000-0005-0000-0000-00009D000000}"/>
    <cellStyle name="20% - Accent3 13" xfId="163" xr:uid="{00000000-0005-0000-0000-00009E000000}"/>
    <cellStyle name="20% - Accent3 14" xfId="164" xr:uid="{00000000-0005-0000-0000-00009F000000}"/>
    <cellStyle name="20% - Accent3 2" xfId="165" xr:uid="{00000000-0005-0000-0000-0000A0000000}"/>
    <cellStyle name="20% - Accent3 3" xfId="166" xr:uid="{00000000-0005-0000-0000-0000A1000000}"/>
    <cellStyle name="20% - Accent3 4" xfId="167" xr:uid="{00000000-0005-0000-0000-0000A2000000}"/>
    <cellStyle name="20% - Accent3 5" xfId="168" xr:uid="{00000000-0005-0000-0000-0000A3000000}"/>
    <cellStyle name="20% - Accent3 6" xfId="169" xr:uid="{00000000-0005-0000-0000-0000A4000000}"/>
    <cellStyle name="20% - Accent3 7" xfId="170" xr:uid="{00000000-0005-0000-0000-0000A5000000}"/>
    <cellStyle name="20% - Accent3 8" xfId="171" xr:uid="{00000000-0005-0000-0000-0000A6000000}"/>
    <cellStyle name="20% - Accent3 9" xfId="172" xr:uid="{00000000-0005-0000-0000-0000A7000000}"/>
    <cellStyle name="20% - Accent4 10" xfId="173" xr:uid="{00000000-0005-0000-0000-0000A8000000}"/>
    <cellStyle name="20% - Accent4 11" xfId="174" xr:uid="{00000000-0005-0000-0000-0000A9000000}"/>
    <cellStyle name="20% - Accent4 12" xfId="175" xr:uid="{00000000-0005-0000-0000-0000AA000000}"/>
    <cellStyle name="20% - Accent4 13" xfId="176" xr:uid="{00000000-0005-0000-0000-0000AB000000}"/>
    <cellStyle name="20% - Accent4 14" xfId="177" xr:uid="{00000000-0005-0000-0000-0000AC000000}"/>
    <cellStyle name="20% - Accent4 2" xfId="178" xr:uid="{00000000-0005-0000-0000-0000AD000000}"/>
    <cellStyle name="20% - Accent4 3" xfId="179" xr:uid="{00000000-0005-0000-0000-0000AE000000}"/>
    <cellStyle name="20% - Accent4 4" xfId="180" xr:uid="{00000000-0005-0000-0000-0000AF000000}"/>
    <cellStyle name="20% - Accent4 5" xfId="181" xr:uid="{00000000-0005-0000-0000-0000B0000000}"/>
    <cellStyle name="20% - Accent4 6" xfId="182" xr:uid="{00000000-0005-0000-0000-0000B1000000}"/>
    <cellStyle name="20% - Accent4 7" xfId="183" xr:uid="{00000000-0005-0000-0000-0000B2000000}"/>
    <cellStyle name="20% - Accent4 8" xfId="184" xr:uid="{00000000-0005-0000-0000-0000B3000000}"/>
    <cellStyle name="20% - Accent4 9" xfId="185" xr:uid="{00000000-0005-0000-0000-0000B4000000}"/>
    <cellStyle name="20% - Accent5 10" xfId="186" xr:uid="{00000000-0005-0000-0000-0000B5000000}"/>
    <cellStyle name="20% - Accent5 11" xfId="187" xr:uid="{00000000-0005-0000-0000-0000B6000000}"/>
    <cellStyle name="20% - Accent5 12" xfId="188" xr:uid="{00000000-0005-0000-0000-0000B7000000}"/>
    <cellStyle name="20% - Accent5 13" xfId="189" xr:uid="{00000000-0005-0000-0000-0000B8000000}"/>
    <cellStyle name="20% - Accent5 14" xfId="190" xr:uid="{00000000-0005-0000-0000-0000B9000000}"/>
    <cellStyle name="20% - Accent5 2" xfId="191" xr:uid="{00000000-0005-0000-0000-0000BA000000}"/>
    <cellStyle name="20% - Accent5 3" xfId="192" xr:uid="{00000000-0005-0000-0000-0000BB000000}"/>
    <cellStyle name="20% - Accent5 4" xfId="193" xr:uid="{00000000-0005-0000-0000-0000BC000000}"/>
    <cellStyle name="20% - Accent5 5" xfId="194" xr:uid="{00000000-0005-0000-0000-0000BD000000}"/>
    <cellStyle name="20% - Accent5 6" xfId="195" xr:uid="{00000000-0005-0000-0000-0000BE000000}"/>
    <cellStyle name="20% - Accent5 7" xfId="196" xr:uid="{00000000-0005-0000-0000-0000BF000000}"/>
    <cellStyle name="20% - Accent5 8" xfId="197" xr:uid="{00000000-0005-0000-0000-0000C0000000}"/>
    <cellStyle name="20% - Accent5 9" xfId="198" xr:uid="{00000000-0005-0000-0000-0000C1000000}"/>
    <cellStyle name="20% - Accent6 10" xfId="199" xr:uid="{00000000-0005-0000-0000-0000C2000000}"/>
    <cellStyle name="20% - Accent6 11" xfId="200" xr:uid="{00000000-0005-0000-0000-0000C3000000}"/>
    <cellStyle name="20% - Accent6 12" xfId="201" xr:uid="{00000000-0005-0000-0000-0000C4000000}"/>
    <cellStyle name="20% - Accent6 13" xfId="202" xr:uid="{00000000-0005-0000-0000-0000C5000000}"/>
    <cellStyle name="20% - Accent6 14" xfId="203" xr:uid="{00000000-0005-0000-0000-0000C6000000}"/>
    <cellStyle name="20% - Accent6 2" xfId="204" xr:uid="{00000000-0005-0000-0000-0000C7000000}"/>
    <cellStyle name="20% - Accent6 3" xfId="205" xr:uid="{00000000-0005-0000-0000-0000C8000000}"/>
    <cellStyle name="20% - Accent6 4" xfId="206" xr:uid="{00000000-0005-0000-0000-0000C9000000}"/>
    <cellStyle name="20% - Accent6 5" xfId="207" xr:uid="{00000000-0005-0000-0000-0000CA000000}"/>
    <cellStyle name="20% - Accent6 6" xfId="208" xr:uid="{00000000-0005-0000-0000-0000CB000000}"/>
    <cellStyle name="20% - Accent6 7" xfId="209" xr:uid="{00000000-0005-0000-0000-0000CC000000}"/>
    <cellStyle name="20% - Accent6 8" xfId="210" xr:uid="{00000000-0005-0000-0000-0000CD000000}"/>
    <cellStyle name="20% - Accent6 9" xfId="211" xr:uid="{00000000-0005-0000-0000-0000CE000000}"/>
    <cellStyle name="40% - Accent1 10" xfId="212" xr:uid="{00000000-0005-0000-0000-0000CF000000}"/>
    <cellStyle name="40% - Accent1 11" xfId="213" xr:uid="{00000000-0005-0000-0000-0000D0000000}"/>
    <cellStyle name="40% - Accent1 12" xfId="214" xr:uid="{00000000-0005-0000-0000-0000D1000000}"/>
    <cellStyle name="40% - Accent1 13" xfId="215" xr:uid="{00000000-0005-0000-0000-0000D2000000}"/>
    <cellStyle name="40% - Accent1 14" xfId="216" xr:uid="{00000000-0005-0000-0000-0000D3000000}"/>
    <cellStyle name="40% - Accent1 2" xfId="217" xr:uid="{00000000-0005-0000-0000-0000D4000000}"/>
    <cellStyle name="40% - Accent1 3" xfId="218" xr:uid="{00000000-0005-0000-0000-0000D5000000}"/>
    <cellStyle name="40% - Accent1 4" xfId="219" xr:uid="{00000000-0005-0000-0000-0000D6000000}"/>
    <cellStyle name="40% - Accent1 5" xfId="220" xr:uid="{00000000-0005-0000-0000-0000D7000000}"/>
    <cellStyle name="40% - Accent1 6" xfId="221" xr:uid="{00000000-0005-0000-0000-0000D8000000}"/>
    <cellStyle name="40% - Accent1 7" xfId="222" xr:uid="{00000000-0005-0000-0000-0000D9000000}"/>
    <cellStyle name="40% - Accent1 8" xfId="223" xr:uid="{00000000-0005-0000-0000-0000DA000000}"/>
    <cellStyle name="40% - Accent1 9" xfId="224" xr:uid="{00000000-0005-0000-0000-0000DB000000}"/>
    <cellStyle name="40% - Accent2 10" xfId="225" xr:uid="{00000000-0005-0000-0000-0000DC000000}"/>
    <cellStyle name="40% - Accent2 11" xfId="226" xr:uid="{00000000-0005-0000-0000-0000DD000000}"/>
    <cellStyle name="40% - Accent2 12" xfId="227" xr:uid="{00000000-0005-0000-0000-0000DE000000}"/>
    <cellStyle name="40% - Accent2 13" xfId="228" xr:uid="{00000000-0005-0000-0000-0000DF000000}"/>
    <cellStyle name="40% - Accent2 14" xfId="229" xr:uid="{00000000-0005-0000-0000-0000E0000000}"/>
    <cellStyle name="40% - Accent2 2" xfId="230" xr:uid="{00000000-0005-0000-0000-0000E1000000}"/>
    <cellStyle name="40% - Accent2 3" xfId="231" xr:uid="{00000000-0005-0000-0000-0000E2000000}"/>
    <cellStyle name="40% - Accent2 4" xfId="232" xr:uid="{00000000-0005-0000-0000-0000E3000000}"/>
    <cellStyle name="40% - Accent2 5" xfId="233" xr:uid="{00000000-0005-0000-0000-0000E4000000}"/>
    <cellStyle name="40% - Accent2 6" xfId="234" xr:uid="{00000000-0005-0000-0000-0000E5000000}"/>
    <cellStyle name="40% - Accent2 7" xfId="235" xr:uid="{00000000-0005-0000-0000-0000E6000000}"/>
    <cellStyle name="40% - Accent2 8" xfId="236" xr:uid="{00000000-0005-0000-0000-0000E7000000}"/>
    <cellStyle name="40% - Accent2 9" xfId="237" xr:uid="{00000000-0005-0000-0000-0000E8000000}"/>
    <cellStyle name="40% - Accent3 10" xfId="238" xr:uid="{00000000-0005-0000-0000-0000E9000000}"/>
    <cellStyle name="40% - Accent3 11" xfId="239" xr:uid="{00000000-0005-0000-0000-0000EA000000}"/>
    <cellStyle name="40% - Accent3 12" xfId="240" xr:uid="{00000000-0005-0000-0000-0000EB000000}"/>
    <cellStyle name="40% - Accent3 13" xfId="241" xr:uid="{00000000-0005-0000-0000-0000EC000000}"/>
    <cellStyle name="40% - Accent3 14" xfId="242" xr:uid="{00000000-0005-0000-0000-0000ED000000}"/>
    <cellStyle name="40% - Accent3 2" xfId="243" xr:uid="{00000000-0005-0000-0000-0000EE000000}"/>
    <cellStyle name="40% - Accent3 3" xfId="244" xr:uid="{00000000-0005-0000-0000-0000EF000000}"/>
    <cellStyle name="40% - Accent3 4" xfId="245" xr:uid="{00000000-0005-0000-0000-0000F0000000}"/>
    <cellStyle name="40% - Accent3 5" xfId="246" xr:uid="{00000000-0005-0000-0000-0000F1000000}"/>
    <cellStyle name="40% - Accent3 6" xfId="247" xr:uid="{00000000-0005-0000-0000-0000F2000000}"/>
    <cellStyle name="40% - Accent3 7" xfId="248" xr:uid="{00000000-0005-0000-0000-0000F3000000}"/>
    <cellStyle name="40% - Accent3 8" xfId="249" xr:uid="{00000000-0005-0000-0000-0000F4000000}"/>
    <cellStyle name="40% - Accent3 9" xfId="250" xr:uid="{00000000-0005-0000-0000-0000F5000000}"/>
    <cellStyle name="40% - Accent4 10" xfId="251" xr:uid="{00000000-0005-0000-0000-0000F6000000}"/>
    <cellStyle name="40% - Accent4 11" xfId="252" xr:uid="{00000000-0005-0000-0000-0000F7000000}"/>
    <cellStyle name="40% - Accent4 12" xfId="253" xr:uid="{00000000-0005-0000-0000-0000F8000000}"/>
    <cellStyle name="40% - Accent4 13" xfId="254" xr:uid="{00000000-0005-0000-0000-0000F9000000}"/>
    <cellStyle name="40% - Accent4 14" xfId="255" xr:uid="{00000000-0005-0000-0000-0000FA000000}"/>
    <cellStyle name="40% - Accent4 2" xfId="256" xr:uid="{00000000-0005-0000-0000-0000FB000000}"/>
    <cellStyle name="40% - Accent4 3" xfId="257" xr:uid="{00000000-0005-0000-0000-0000FC000000}"/>
    <cellStyle name="40% - Accent4 4" xfId="258" xr:uid="{00000000-0005-0000-0000-0000FD000000}"/>
    <cellStyle name="40% - Accent4 5" xfId="259" xr:uid="{00000000-0005-0000-0000-0000FE000000}"/>
    <cellStyle name="40% - Accent4 6" xfId="260" xr:uid="{00000000-0005-0000-0000-0000FF000000}"/>
    <cellStyle name="40% - Accent4 7" xfId="261" xr:uid="{00000000-0005-0000-0000-000000010000}"/>
    <cellStyle name="40% - Accent4 8" xfId="262" xr:uid="{00000000-0005-0000-0000-000001010000}"/>
    <cellStyle name="40% - Accent4 9" xfId="263" xr:uid="{00000000-0005-0000-0000-000002010000}"/>
    <cellStyle name="40% - Accent5 10" xfId="264" xr:uid="{00000000-0005-0000-0000-000003010000}"/>
    <cellStyle name="40% - Accent5 11" xfId="265" xr:uid="{00000000-0005-0000-0000-000004010000}"/>
    <cellStyle name="40% - Accent5 12" xfId="266" xr:uid="{00000000-0005-0000-0000-000005010000}"/>
    <cellStyle name="40% - Accent5 13" xfId="267" xr:uid="{00000000-0005-0000-0000-000006010000}"/>
    <cellStyle name="40% - Accent5 14" xfId="268" xr:uid="{00000000-0005-0000-0000-000007010000}"/>
    <cellStyle name="40% - Accent5 2" xfId="269" xr:uid="{00000000-0005-0000-0000-000008010000}"/>
    <cellStyle name="40% - Accent5 3" xfId="270" xr:uid="{00000000-0005-0000-0000-000009010000}"/>
    <cellStyle name="40% - Accent5 4" xfId="271" xr:uid="{00000000-0005-0000-0000-00000A010000}"/>
    <cellStyle name="40% - Accent5 5" xfId="272" xr:uid="{00000000-0005-0000-0000-00000B010000}"/>
    <cellStyle name="40% - Accent5 6" xfId="273" xr:uid="{00000000-0005-0000-0000-00000C010000}"/>
    <cellStyle name="40% - Accent5 7" xfId="274" xr:uid="{00000000-0005-0000-0000-00000D010000}"/>
    <cellStyle name="40% - Accent5 8" xfId="275" xr:uid="{00000000-0005-0000-0000-00000E010000}"/>
    <cellStyle name="40% - Accent5 9" xfId="276" xr:uid="{00000000-0005-0000-0000-00000F010000}"/>
    <cellStyle name="40% - Accent6 10" xfId="277" xr:uid="{00000000-0005-0000-0000-000010010000}"/>
    <cellStyle name="40% - Accent6 11" xfId="278" xr:uid="{00000000-0005-0000-0000-000011010000}"/>
    <cellStyle name="40% - Accent6 12" xfId="279" xr:uid="{00000000-0005-0000-0000-000012010000}"/>
    <cellStyle name="40% - Accent6 13" xfId="280" xr:uid="{00000000-0005-0000-0000-000013010000}"/>
    <cellStyle name="40% - Accent6 14" xfId="281" xr:uid="{00000000-0005-0000-0000-000014010000}"/>
    <cellStyle name="40% - Accent6 2" xfId="282" xr:uid="{00000000-0005-0000-0000-000015010000}"/>
    <cellStyle name="40% - Accent6 3" xfId="283" xr:uid="{00000000-0005-0000-0000-000016010000}"/>
    <cellStyle name="40% - Accent6 4" xfId="284" xr:uid="{00000000-0005-0000-0000-000017010000}"/>
    <cellStyle name="40% - Accent6 5" xfId="285" xr:uid="{00000000-0005-0000-0000-000018010000}"/>
    <cellStyle name="40% - Accent6 6" xfId="286" xr:uid="{00000000-0005-0000-0000-000019010000}"/>
    <cellStyle name="40% - Accent6 7" xfId="287" xr:uid="{00000000-0005-0000-0000-00001A010000}"/>
    <cellStyle name="40% - Accent6 8" xfId="288" xr:uid="{00000000-0005-0000-0000-00001B010000}"/>
    <cellStyle name="40% - Accent6 9" xfId="289" xr:uid="{00000000-0005-0000-0000-00001C010000}"/>
    <cellStyle name="60% - Accent1 10" xfId="290" xr:uid="{00000000-0005-0000-0000-00001D010000}"/>
    <cellStyle name="60% - Accent1 11" xfId="291" xr:uid="{00000000-0005-0000-0000-00001E010000}"/>
    <cellStyle name="60% - Accent1 12" xfId="292" xr:uid="{00000000-0005-0000-0000-00001F010000}"/>
    <cellStyle name="60% - Accent1 13" xfId="293" xr:uid="{00000000-0005-0000-0000-000020010000}"/>
    <cellStyle name="60% - Accent1 14" xfId="294" xr:uid="{00000000-0005-0000-0000-000021010000}"/>
    <cellStyle name="60% - Accent1 2" xfId="295" xr:uid="{00000000-0005-0000-0000-000022010000}"/>
    <cellStyle name="60% - Accent1 3" xfId="296" xr:uid="{00000000-0005-0000-0000-000023010000}"/>
    <cellStyle name="60% - Accent1 4" xfId="297" xr:uid="{00000000-0005-0000-0000-000024010000}"/>
    <cellStyle name="60% - Accent1 5" xfId="298" xr:uid="{00000000-0005-0000-0000-000025010000}"/>
    <cellStyle name="60% - Accent1 6" xfId="299" xr:uid="{00000000-0005-0000-0000-000026010000}"/>
    <cellStyle name="60% - Accent1 7" xfId="300" xr:uid="{00000000-0005-0000-0000-000027010000}"/>
    <cellStyle name="60% - Accent1 8" xfId="301" xr:uid="{00000000-0005-0000-0000-000028010000}"/>
    <cellStyle name="60% - Accent1 9" xfId="302" xr:uid="{00000000-0005-0000-0000-000029010000}"/>
    <cellStyle name="60% - Accent2 10" xfId="303" xr:uid="{00000000-0005-0000-0000-00002A010000}"/>
    <cellStyle name="60% - Accent2 11" xfId="304" xr:uid="{00000000-0005-0000-0000-00002B010000}"/>
    <cellStyle name="60% - Accent2 12" xfId="305" xr:uid="{00000000-0005-0000-0000-00002C010000}"/>
    <cellStyle name="60% - Accent2 13" xfId="306" xr:uid="{00000000-0005-0000-0000-00002D010000}"/>
    <cellStyle name="60% - Accent2 14" xfId="307" xr:uid="{00000000-0005-0000-0000-00002E010000}"/>
    <cellStyle name="60% - Accent2 2" xfId="308" xr:uid="{00000000-0005-0000-0000-00002F010000}"/>
    <cellStyle name="60% - Accent2 3" xfId="309" xr:uid="{00000000-0005-0000-0000-000030010000}"/>
    <cellStyle name="60% - Accent2 4" xfId="310" xr:uid="{00000000-0005-0000-0000-000031010000}"/>
    <cellStyle name="60% - Accent2 5" xfId="311" xr:uid="{00000000-0005-0000-0000-000032010000}"/>
    <cellStyle name="60% - Accent2 6" xfId="312" xr:uid="{00000000-0005-0000-0000-000033010000}"/>
    <cellStyle name="60% - Accent2 7" xfId="313" xr:uid="{00000000-0005-0000-0000-000034010000}"/>
    <cellStyle name="60% - Accent2 8" xfId="314" xr:uid="{00000000-0005-0000-0000-000035010000}"/>
    <cellStyle name="60% - Accent2 9" xfId="315" xr:uid="{00000000-0005-0000-0000-000036010000}"/>
    <cellStyle name="60% - Accent3 10" xfId="316" xr:uid="{00000000-0005-0000-0000-000037010000}"/>
    <cellStyle name="60% - Accent3 11" xfId="317" xr:uid="{00000000-0005-0000-0000-000038010000}"/>
    <cellStyle name="60% - Accent3 12" xfId="318" xr:uid="{00000000-0005-0000-0000-000039010000}"/>
    <cellStyle name="60% - Accent3 13" xfId="319" xr:uid="{00000000-0005-0000-0000-00003A010000}"/>
    <cellStyle name="60% - Accent3 14" xfId="320" xr:uid="{00000000-0005-0000-0000-00003B010000}"/>
    <cellStyle name="60% - Accent3 2" xfId="321" xr:uid="{00000000-0005-0000-0000-00003C010000}"/>
    <cellStyle name="60% - Accent3 3" xfId="322" xr:uid="{00000000-0005-0000-0000-00003D010000}"/>
    <cellStyle name="60% - Accent3 4" xfId="323" xr:uid="{00000000-0005-0000-0000-00003E010000}"/>
    <cellStyle name="60% - Accent3 5" xfId="324" xr:uid="{00000000-0005-0000-0000-00003F010000}"/>
    <cellStyle name="60% - Accent3 6" xfId="325" xr:uid="{00000000-0005-0000-0000-000040010000}"/>
    <cellStyle name="60% - Accent3 7" xfId="326" xr:uid="{00000000-0005-0000-0000-000041010000}"/>
    <cellStyle name="60% - Accent3 8" xfId="327" xr:uid="{00000000-0005-0000-0000-000042010000}"/>
    <cellStyle name="60% - Accent3 9" xfId="328" xr:uid="{00000000-0005-0000-0000-000043010000}"/>
    <cellStyle name="60% - Accent4 10" xfId="329" xr:uid="{00000000-0005-0000-0000-000044010000}"/>
    <cellStyle name="60% - Accent4 11" xfId="330" xr:uid="{00000000-0005-0000-0000-000045010000}"/>
    <cellStyle name="60% - Accent4 12" xfId="331" xr:uid="{00000000-0005-0000-0000-000046010000}"/>
    <cellStyle name="60% - Accent4 13" xfId="332" xr:uid="{00000000-0005-0000-0000-000047010000}"/>
    <cellStyle name="60% - Accent4 14" xfId="333" xr:uid="{00000000-0005-0000-0000-000048010000}"/>
    <cellStyle name="60% - Accent4 2" xfId="334" xr:uid="{00000000-0005-0000-0000-000049010000}"/>
    <cellStyle name="60% - Accent4 3" xfId="335" xr:uid="{00000000-0005-0000-0000-00004A010000}"/>
    <cellStyle name="60% - Accent4 4" xfId="336" xr:uid="{00000000-0005-0000-0000-00004B010000}"/>
    <cellStyle name="60% - Accent4 5" xfId="337" xr:uid="{00000000-0005-0000-0000-00004C010000}"/>
    <cellStyle name="60% - Accent4 6" xfId="338" xr:uid="{00000000-0005-0000-0000-00004D010000}"/>
    <cellStyle name="60% - Accent4 7" xfId="339" xr:uid="{00000000-0005-0000-0000-00004E010000}"/>
    <cellStyle name="60% - Accent4 8" xfId="340" xr:uid="{00000000-0005-0000-0000-00004F010000}"/>
    <cellStyle name="60% - Accent4 9" xfId="341" xr:uid="{00000000-0005-0000-0000-000050010000}"/>
    <cellStyle name="60% - Accent5 10" xfId="342" xr:uid="{00000000-0005-0000-0000-000051010000}"/>
    <cellStyle name="60% - Accent5 11" xfId="343" xr:uid="{00000000-0005-0000-0000-000052010000}"/>
    <cellStyle name="60% - Accent5 12" xfId="344" xr:uid="{00000000-0005-0000-0000-000053010000}"/>
    <cellStyle name="60% - Accent5 13" xfId="345" xr:uid="{00000000-0005-0000-0000-000054010000}"/>
    <cellStyle name="60% - Accent5 14" xfId="346" xr:uid="{00000000-0005-0000-0000-000055010000}"/>
    <cellStyle name="60% - Accent5 2" xfId="347" xr:uid="{00000000-0005-0000-0000-000056010000}"/>
    <cellStyle name="60% - Accent5 3" xfId="348" xr:uid="{00000000-0005-0000-0000-000057010000}"/>
    <cellStyle name="60% - Accent5 4" xfId="349" xr:uid="{00000000-0005-0000-0000-000058010000}"/>
    <cellStyle name="60% - Accent5 5" xfId="350" xr:uid="{00000000-0005-0000-0000-000059010000}"/>
    <cellStyle name="60% - Accent5 6" xfId="351" xr:uid="{00000000-0005-0000-0000-00005A010000}"/>
    <cellStyle name="60% - Accent5 7" xfId="352" xr:uid="{00000000-0005-0000-0000-00005B010000}"/>
    <cellStyle name="60% - Accent5 8" xfId="353" xr:uid="{00000000-0005-0000-0000-00005C010000}"/>
    <cellStyle name="60% - Accent5 9" xfId="354" xr:uid="{00000000-0005-0000-0000-00005D010000}"/>
    <cellStyle name="60% - Accent6 10" xfId="355" xr:uid="{00000000-0005-0000-0000-00005E010000}"/>
    <cellStyle name="60% - Accent6 11" xfId="356" xr:uid="{00000000-0005-0000-0000-00005F010000}"/>
    <cellStyle name="60% - Accent6 12" xfId="357" xr:uid="{00000000-0005-0000-0000-000060010000}"/>
    <cellStyle name="60% - Accent6 13" xfId="358" xr:uid="{00000000-0005-0000-0000-000061010000}"/>
    <cellStyle name="60% - Accent6 14" xfId="359" xr:uid="{00000000-0005-0000-0000-000062010000}"/>
    <cellStyle name="60% - Accent6 2" xfId="360" xr:uid="{00000000-0005-0000-0000-000063010000}"/>
    <cellStyle name="60% - Accent6 3" xfId="361" xr:uid="{00000000-0005-0000-0000-000064010000}"/>
    <cellStyle name="60% - Accent6 4" xfId="362" xr:uid="{00000000-0005-0000-0000-000065010000}"/>
    <cellStyle name="60% - Accent6 5" xfId="363" xr:uid="{00000000-0005-0000-0000-000066010000}"/>
    <cellStyle name="60% - Accent6 6" xfId="364" xr:uid="{00000000-0005-0000-0000-000067010000}"/>
    <cellStyle name="60% - Accent6 7" xfId="365" xr:uid="{00000000-0005-0000-0000-000068010000}"/>
    <cellStyle name="60% - Accent6 8" xfId="366" xr:uid="{00000000-0005-0000-0000-000069010000}"/>
    <cellStyle name="60% - Accent6 9" xfId="367" xr:uid="{00000000-0005-0000-0000-00006A010000}"/>
    <cellStyle name="Accent1 10" xfId="368" xr:uid="{00000000-0005-0000-0000-00006B010000}"/>
    <cellStyle name="Accent1 11" xfId="369" xr:uid="{00000000-0005-0000-0000-00006C010000}"/>
    <cellStyle name="Accent1 12" xfId="370" xr:uid="{00000000-0005-0000-0000-00006D010000}"/>
    <cellStyle name="Accent1 13" xfId="371" xr:uid="{00000000-0005-0000-0000-00006E010000}"/>
    <cellStyle name="Accent1 14" xfId="372" xr:uid="{00000000-0005-0000-0000-00006F010000}"/>
    <cellStyle name="Accent1 2" xfId="373" xr:uid="{00000000-0005-0000-0000-000070010000}"/>
    <cellStyle name="Accent1 3" xfId="374" xr:uid="{00000000-0005-0000-0000-000071010000}"/>
    <cellStyle name="Accent1 4" xfId="375" xr:uid="{00000000-0005-0000-0000-000072010000}"/>
    <cellStyle name="Accent1 5" xfId="376" xr:uid="{00000000-0005-0000-0000-000073010000}"/>
    <cellStyle name="Accent1 6" xfId="377" xr:uid="{00000000-0005-0000-0000-000074010000}"/>
    <cellStyle name="Accent1 7" xfId="378" xr:uid="{00000000-0005-0000-0000-000075010000}"/>
    <cellStyle name="Accent1 8" xfId="379" xr:uid="{00000000-0005-0000-0000-000076010000}"/>
    <cellStyle name="Accent1 9" xfId="380" xr:uid="{00000000-0005-0000-0000-000077010000}"/>
    <cellStyle name="Accent2 10" xfId="381" xr:uid="{00000000-0005-0000-0000-000078010000}"/>
    <cellStyle name="Accent2 11" xfId="382" xr:uid="{00000000-0005-0000-0000-000079010000}"/>
    <cellStyle name="Accent2 12" xfId="383" xr:uid="{00000000-0005-0000-0000-00007A010000}"/>
    <cellStyle name="Accent2 13" xfId="384" xr:uid="{00000000-0005-0000-0000-00007B010000}"/>
    <cellStyle name="Accent2 14" xfId="385" xr:uid="{00000000-0005-0000-0000-00007C010000}"/>
    <cellStyle name="Accent2 2" xfId="386" xr:uid="{00000000-0005-0000-0000-00007D010000}"/>
    <cellStyle name="Accent2 3" xfId="387" xr:uid="{00000000-0005-0000-0000-00007E010000}"/>
    <cellStyle name="Accent2 4" xfId="388" xr:uid="{00000000-0005-0000-0000-00007F010000}"/>
    <cellStyle name="Accent2 5" xfId="389" xr:uid="{00000000-0005-0000-0000-000080010000}"/>
    <cellStyle name="Accent2 6" xfId="390" xr:uid="{00000000-0005-0000-0000-000081010000}"/>
    <cellStyle name="Accent2 7" xfId="391" xr:uid="{00000000-0005-0000-0000-000082010000}"/>
    <cellStyle name="Accent2 8" xfId="392" xr:uid="{00000000-0005-0000-0000-000083010000}"/>
    <cellStyle name="Accent2 9" xfId="393" xr:uid="{00000000-0005-0000-0000-000084010000}"/>
    <cellStyle name="Accent3 10" xfId="394" xr:uid="{00000000-0005-0000-0000-000085010000}"/>
    <cellStyle name="Accent3 11" xfId="395" xr:uid="{00000000-0005-0000-0000-000086010000}"/>
    <cellStyle name="Accent3 12" xfId="396" xr:uid="{00000000-0005-0000-0000-000087010000}"/>
    <cellStyle name="Accent3 13" xfId="397" xr:uid="{00000000-0005-0000-0000-000088010000}"/>
    <cellStyle name="Accent3 14" xfId="398" xr:uid="{00000000-0005-0000-0000-000089010000}"/>
    <cellStyle name="Accent3 2" xfId="399" xr:uid="{00000000-0005-0000-0000-00008A010000}"/>
    <cellStyle name="Accent3 3" xfId="400" xr:uid="{00000000-0005-0000-0000-00008B010000}"/>
    <cellStyle name="Accent3 4" xfId="401" xr:uid="{00000000-0005-0000-0000-00008C010000}"/>
    <cellStyle name="Accent3 5" xfId="402" xr:uid="{00000000-0005-0000-0000-00008D010000}"/>
    <cellStyle name="Accent3 6" xfId="403" xr:uid="{00000000-0005-0000-0000-00008E010000}"/>
    <cellStyle name="Accent3 7" xfId="404" xr:uid="{00000000-0005-0000-0000-00008F010000}"/>
    <cellStyle name="Accent3 8" xfId="405" xr:uid="{00000000-0005-0000-0000-000090010000}"/>
    <cellStyle name="Accent3 9" xfId="406" xr:uid="{00000000-0005-0000-0000-000091010000}"/>
    <cellStyle name="Accent4 10" xfId="407" xr:uid="{00000000-0005-0000-0000-000092010000}"/>
    <cellStyle name="Accent4 11" xfId="408" xr:uid="{00000000-0005-0000-0000-000093010000}"/>
    <cellStyle name="Accent4 12" xfId="409" xr:uid="{00000000-0005-0000-0000-000094010000}"/>
    <cellStyle name="Accent4 13" xfId="410" xr:uid="{00000000-0005-0000-0000-000095010000}"/>
    <cellStyle name="Accent4 14" xfId="411" xr:uid="{00000000-0005-0000-0000-000096010000}"/>
    <cellStyle name="Accent4 2" xfId="412" xr:uid="{00000000-0005-0000-0000-000097010000}"/>
    <cellStyle name="Accent4 3" xfId="413" xr:uid="{00000000-0005-0000-0000-000098010000}"/>
    <cellStyle name="Accent4 4" xfId="414" xr:uid="{00000000-0005-0000-0000-000099010000}"/>
    <cellStyle name="Accent4 5" xfId="415" xr:uid="{00000000-0005-0000-0000-00009A010000}"/>
    <cellStyle name="Accent4 6" xfId="416" xr:uid="{00000000-0005-0000-0000-00009B010000}"/>
    <cellStyle name="Accent4 7" xfId="417" xr:uid="{00000000-0005-0000-0000-00009C010000}"/>
    <cellStyle name="Accent4 8" xfId="418" xr:uid="{00000000-0005-0000-0000-00009D010000}"/>
    <cellStyle name="Accent4 9" xfId="419" xr:uid="{00000000-0005-0000-0000-00009E010000}"/>
    <cellStyle name="Accent5 10" xfId="420" xr:uid="{00000000-0005-0000-0000-00009F010000}"/>
    <cellStyle name="Accent5 11" xfId="421" xr:uid="{00000000-0005-0000-0000-0000A0010000}"/>
    <cellStyle name="Accent5 12" xfId="422" xr:uid="{00000000-0005-0000-0000-0000A1010000}"/>
    <cellStyle name="Accent5 13" xfId="423" xr:uid="{00000000-0005-0000-0000-0000A2010000}"/>
    <cellStyle name="Accent5 14" xfId="424" xr:uid="{00000000-0005-0000-0000-0000A3010000}"/>
    <cellStyle name="Accent5 2" xfId="425" xr:uid="{00000000-0005-0000-0000-0000A4010000}"/>
    <cellStyle name="Accent5 3" xfId="426" xr:uid="{00000000-0005-0000-0000-0000A5010000}"/>
    <cellStyle name="Accent5 4" xfId="427" xr:uid="{00000000-0005-0000-0000-0000A6010000}"/>
    <cellStyle name="Accent5 5" xfId="428" xr:uid="{00000000-0005-0000-0000-0000A7010000}"/>
    <cellStyle name="Accent5 6" xfId="429" xr:uid="{00000000-0005-0000-0000-0000A8010000}"/>
    <cellStyle name="Accent5 7" xfId="430" xr:uid="{00000000-0005-0000-0000-0000A9010000}"/>
    <cellStyle name="Accent5 8" xfId="431" xr:uid="{00000000-0005-0000-0000-0000AA010000}"/>
    <cellStyle name="Accent5 9" xfId="432" xr:uid="{00000000-0005-0000-0000-0000AB010000}"/>
    <cellStyle name="Accent6 10" xfId="433" xr:uid="{00000000-0005-0000-0000-0000AC010000}"/>
    <cellStyle name="Accent6 11" xfId="434" xr:uid="{00000000-0005-0000-0000-0000AD010000}"/>
    <cellStyle name="Accent6 12" xfId="435" xr:uid="{00000000-0005-0000-0000-0000AE010000}"/>
    <cellStyle name="Accent6 13" xfId="436" xr:uid="{00000000-0005-0000-0000-0000AF010000}"/>
    <cellStyle name="Accent6 14" xfId="437" xr:uid="{00000000-0005-0000-0000-0000B0010000}"/>
    <cellStyle name="Accent6 2" xfId="438" xr:uid="{00000000-0005-0000-0000-0000B1010000}"/>
    <cellStyle name="Accent6 3" xfId="439" xr:uid="{00000000-0005-0000-0000-0000B2010000}"/>
    <cellStyle name="Accent6 4" xfId="440" xr:uid="{00000000-0005-0000-0000-0000B3010000}"/>
    <cellStyle name="Accent6 5" xfId="441" xr:uid="{00000000-0005-0000-0000-0000B4010000}"/>
    <cellStyle name="Accent6 6" xfId="442" xr:uid="{00000000-0005-0000-0000-0000B5010000}"/>
    <cellStyle name="Accent6 7" xfId="443" xr:uid="{00000000-0005-0000-0000-0000B6010000}"/>
    <cellStyle name="Accent6 8" xfId="444" xr:uid="{00000000-0005-0000-0000-0000B7010000}"/>
    <cellStyle name="Accent6 9" xfId="445" xr:uid="{00000000-0005-0000-0000-0000B8010000}"/>
    <cellStyle name="ÅëÈ­ [0]_±âÅ¸" xfId="446" xr:uid="{00000000-0005-0000-0000-0000B9010000}"/>
    <cellStyle name="AeE­ [0]_INQUIRY ¿?¾÷AßAø " xfId="447" xr:uid="{00000000-0005-0000-0000-0000BA010000}"/>
    <cellStyle name="ÅëÈ­_±âÅ¸" xfId="448" xr:uid="{00000000-0005-0000-0000-0000BB010000}"/>
    <cellStyle name="AeE­_INQUIRY ¿?¾÷AßAø " xfId="449" xr:uid="{00000000-0005-0000-0000-0000BC010000}"/>
    <cellStyle name="args.style" xfId="450" xr:uid="{00000000-0005-0000-0000-0000BD010000}"/>
    <cellStyle name="ÄÞ¸¶ [0]_±âÅ¸" xfId="451" xr:uid="{00000000-0005-0000-0000-0000BE010000}"/>
    <cellStyle name="AÞ¸¶ [0]_INQUIRY ¿?¾÷AßAø " xfId="452" xr:uid="{00000000-0005-0000-0000-0000BF010000}"/>
    <cellStyle name="ÄÞ¸¶_±âÅ¸" xfId="453" xr:uid="{00000000-0005-0000-0000-0000C0010000}"/>
    <cellStyle name="AÞ¸¶_INQUIRY ¿?¾÷AßAø " xfId="454" xr:uid="{00000000-0005-0000-0000-0000C1010000}"/>
    <cellStyle name="Bad 10" xfId="455" xr:uid="{00000000-0005-0000-0000-0000C2010000}"/>
    <cellStyle name="Bad 11" xfId="456" xr:uid="{00000000-0005-0000-0000-0000C3010000}"/>
    <cellStyle name="Bad 12" xfId="457" xr:uid="{00000000-0005-0000-0000-0000C4010000}"/>
    <cellStyle name="Bad 13" xfId="458" xr:uid="{00000000-0005-0000-0000-0000C5010000}"/>
    <cellStyle name="Bad 14" xfId="459" xr:uid="{00000000-0005-0000-0000-0000C6010000}"/>
    <cellStyle name="Bad 2" xfId="460" xr:uid="{00000000-0005-0000-0000-0000C7010000}"/>
    <cellStyle name="Bad 3" xfId="461" xr:uid="{00000000-0005-0000-0000-0000C8010000}"/>
    <cellStyle name="Bad 4" xfId="462" xr:uid="{00000000-0005-0000-0000-0000C9010000}"/>
    <cellStyle name="Bad 5" xfId="463" xr:uid="{00000000-0005-0000-0000-0000CA010000}"/>
    <cellStyle name="Bad 6" xfId="464" xr:uid="{00000000-0005-0000-0000-0000CB010000}"/>
    <cellStyle name="Bad 7" xfId="465" xr:uid="{00000000-0005-0000-0000-0000CC010000}"/>
    <cellStyle name="Bad 8" xfId="466" xr:uid="{00000000-0005-0000-0000-0000CD010000}"/>
    <cellStyle name="Bad 9" xfId="467" xr:uid="{00000000-0005-0000-0000-0000CE010000}"/>
    <cellStyle name="bol" xfId="468" xr:uid="{00000000-0005-0000-0000-0000CF010000}"/>
    <cellStyle name="Bol 1" xfId="469" xr:uid="{00000000-0005-0000-0000-0000D0010000}"/>
    <cellStyle name="bol_08 - 2143 - E - AHS - 090617" xfId="470" xr:uid="{00000000-0005-0000-0000-0000D1010000}"/>
    <cellStyle name="bol1" xfId="471" xr:uid="{00000000-0005-0000-0000-0000D2010000}"/>
    <cellStyle name="C?AØ_¿?¾÷CoE² " xfId="472" xr:uid="{00000000-0005-0000-0000-0000D3010000}"/>
    <cellStyle name="Ç¥ÁØ_¿¬°£´©°è¿¹»ó" xfId="473" xr:uid="{00000000-0005-0000-0000-0000D4010000}"/>
    <cellStyle name="C￥AØ_¿μ¾÷CoE² " xfId="474" xr:uid="{00000000-0005-0000-0000-0000D5010000}"/>
    <cellStyle name="Calc Currency (0)" xfId="475" xr:uid="{00000000-0005-0000-0000-0000D6010000}"/>
    <cellStyle name="Calculation 10" xfId="476" xr:uid="{00000000-0005-0000-0000-0000D7010000}"/>
    <cellStyle name="Calculation 10 2" xfId="477" xr:uid="{00000000-0005-0000-0000-0000D8010000}"/>
    <cellStyle name="Calculation 11" xfId="478" xr:uid="{00000000-0005-0000-0000-0000D9010000}"/>
    <cellStyle name="Calculation 11 2" xfId="479" xr:uid="{00000000-0005-0000-0000-0000DA010000}"/>
    <cellStyle name="Calculation 12" xfId="480" xr:uid="{00000000-0005-0000-0000-0000DB010000}"/>
    <cellStyle name="Calculation 12 2" xfId="481" xr:uid="{00000000-0005-0000-0000-0000DC010000}"/>
    <cellStyle name="Calculation 13" xfId="482" xr:uid="{00000000-0005-0000-0000-0000DD010000}"/>
    <cellStyle name="Calculation 13 2" xfId="483" xr:uid="{00000000-0005-0000-0000-0000DE010000}"/>
    <cellStyle name="Calculation 14" xfId="484" xr:uid="{00000000-0005-0000-0000-0000DF010000}"/>
    <cellStyle name="Calculation 14 2" xfId="485" xr:uid="{00000000-0005-0000-0000-0000E0010000}"/>
    <cellStyle name="Calculation 2" xfId="486" xr:uid="{00000000-0005-0000-0000-0000E1010000}"/>
    <cellStyle name="Calculation 2 2" xfId="487" xr:uid="{00000000-0005-0000-0000-0000E2010000}"/>
    <cellStyle name="Calculation 3" xfId="488" xr:uid="{00000000-0005-0000-0000-0000E3010000}"/>
    <cellStyle name="Calculation 3 2" xfId="489" xr:uid="{00000000-0005-0000-0000-0000E4010000}"/>
    <cellStyle name="Calculation 4" xfId="490" xr:uid="{00000000-0005-0000-0000-0000E5010000}"/>
    <cellStyle name="Calculation 4 2" xfId="491" xr:uid="{00000000-0005-0000-0000-0000E6010000}"/>
    <cellStyle name="Calculation 5" xfId="492" xr:uid="{00000000-0005-0000-0000-0000E7010000}"/>
    <cellStyle name="Calculation 5 2" xfId="493" xr:uid="{00000000-0005-0000-0000-0000E8010000}"/>
    <cellStyle name="Calculation 6" xfId="494" xr:uid="{00000000-0005-0000-0000-0000E9010000}"/>
    <cellStyle name="Calculation 6 2" xfId="495" xr:uid="{00000000-0005-0000-0000-0000EA010000}"/>
    <cellStyle name="Calculation 7" xfId="496" xr:uid="{00000000-0005-0000-0000-0000EB010000}"/>
    <cellStyle name="Calculation 7 2" xfId="497" xr:uid="{00000000-0005-0000-0000-0000EC010000}"/>
    <cellStyle name="Calculation 8" xfId="498" xr:uid="{00000000-0005-0000-0000-0000ED010000}"/>
    <cellStyle name="Calculation 8 2" xfId="499" xr:uid="{00000000-0005-0000-0000-0000EE010000}"/>
    <cellStyle name="Calculation 9" xfId="500" xr:uid="{00000000-0005-0000-0000-0000EF010000}"/>
    <cellStyle name="Calculation 9 2" xfId="501" xr:uid="{00000000-0005-0000-0000-0000F0010000}"/>
    <cellStyle name="Check Cell 10" xfId="502" xr:uid="{00000000-0005-0000-0000-0000F1010000}"/>
    <cellStyle name="Check Cell 11" xfId="503" xr:uid="{00000000-0005-0000-0000-0000F2010000}"/>
    <cellStyle name="Check Cell 12" xfId="504" xr:uid="{00000000-0005-0000-0000-0000F3010000}"/>
    <cellStyle name="Check Cell 13" xfId="505" xr:uid="{00000000-0005-0000-0000-0000F4010000}"/>
    <cellStyle name="Check Cell 14" xfId="506" xr:uid="{00000000-0005-0000-0000-0000F5010000}"/>
    <cellStyle name="Check Cell 2" xfId="507" xr:uid="{00000000-0005-0000-0000-0000F6010000}"/>
    <cellStyle name="Check Cell 3" xfId="508" xr:uid="{00000000-0005-0000-0000-0000F7010000}"/>
    <cellStyle name="Check Cell 4" xfId="509" xr:uid="{00000000-0005-0000-0000-0000F8010000}"/>
    <cellStyle name="Check Cell 5" xfId="510" xr:uid="{00000000-0005-0000-0000-0000F9010000}"/>
    <cellStyle name="Check Cell 5 2" xfId="511" xr:uid="{00000000-0005-0000-0000-0000FA010000}"/>
    <cellStyle name="Check Cell 6" xfId="512" xr:uid="{00000000-0005-0000-0000-0000FB010000}"/>
    <cellStyle name="Check Cell 7" xfId="513" xr:uid="{00000000-0005-0000-0000-0000FC010000}"/>
    <cellStyle name="Check Cell 8" xfId="514" xr:uid="{00000000-0005-0000-0000-0000FD010000}"/>
    <cellStyle name="Check Cell 9" xfId="515" xr:uid="{00000000-0005-0000-0000-0000FE010000}"/>
    <cellStyle name="Comma" xfId="2026" builtinId="3"/>
    <cellStyle name="Comma  - Style1" xfId="517" xr:uid="{00000000-0005-0000-0000-0000FF010000}"/>
    <cellStyle name="Comma  - Style2" xfId="518" xr:uid="{00000000-0005-0000-0000-000000020000}"/>
    <cellStyle name="Comma  - Style3" xfId="519" xr:uid="{00000000-0005-0000-0000-000001020000}"/>
    <cellStyle name="Comma  - Style4" xfId="520" xr:uid="{00000000-0005-0000-0000-000002020000}"/>
    <cellStyle name="Comma  - Style5" xfId="521" xr:uid="{00000000-0005-0000-0000-000003020000}"/>
    <cellStyle name="Comma  - Style6" xfId="522" xr:uid="{00000000-0005-0000-0000-000004020000}"/>
    <cellStyle name="Comma  - Style7" xfId="523" xr:uid="{00000000-0005-0000-0000-000005020000}"/>
    <cellStyle name="Comma  - Style8" xfId="524" xr:uid="{00000000-0005-0000-0000-000006020000}"/>
    <cellStyle name="Comma [0]" xfId="1" builtinId="6"/>
    <cellStyle name="Comma [0] 10" xfId="526" xr:uid="{00000000-0005-0000-0000-000008020000}"/>
    <cellStyle name="Comma [0] 10 10" xfId="527" xr:uid="{00000000-0005-0000-0000-000009020000}"/>
    <cellStyle name="Comma [0] 10 10 2" xfId="528" xr:uid="{00000000-0005-0000-0000-00000A020000}"/>
    <cellStyle name="Comma [0] 10 2" xfId="529" xr:uid="{00000000-0005-0000-0000-00000B020000}"/>
    <cellStyle name="Comma [0] 10 2 2" xfId="530" xr:uid="{00000000-0005-0000-0000-00000C020000}"/>
    <cellStyle name="Comma [0] 10 2 3" xfId="531" xr:uid="{00000000-0005-0000-0000-00000D020000}"/>
    <cellStyle name="Comma [0] 10 3" xfId="532" xr:uid="{00000000-0005-0000-0000-00000E020000}"/>
    <cellStyle name="Comma [0] 10 3 2" xfId="533" xr:uid="{00000000-0005-0000-0000-00000F020000}"/>
    <cellStyle name="Comma [0] 10 3 3" xfId="534" xr:uid="{00000000-0005-0000-0000-000010020000}"/>
    <cellStyle name="Comma [0] 10 4" xfId="535" xr:uid="{00000000-0005-0000-0000-000011020000}"/>
    <cellStyle name="Comma [0] 10 4 2" xfId="536" xr:uid="{00000000-0005-0000-0000-000012020000}"/>
    <cellStyle name="Comma [0] 10 5" xfId="537" xr:uid="{00000000-0005-0000-0000-000013020000}"/>
    <cellStyle name="Comma [0] 10 6" xfId="538" xr:uid="{00000000-0005-0000-0000-000014020000}"/>
    <cellStyle name="Comma [0] 10_00a. MASTER ANALIS SNI NGAWI" xfId="539" xr:uid="{00000000-0005-0000-0000-000015020000}"/>
    <cellStyle name="Comma [0] 11" xfId="540" xr:uid="{00000000-0005-0000-0000-000016020000}"/>
    <cellStyle name="Comma [0] 11 2" xfId="541" xr:uid="{00000000-0005-0000-0000-000017020000}"/>
    <cellStyle name="Comma [0] 11 2 2" xfId="542" xr:uid="{00000000-0005-0000-0000-000018020000}"/>
    <cellStyle name="Comma [0] 11 3" xfId="543" xr:uid="{00000000-0005-0000-0000-000019020000}"/>
    <cellStyle name="Comma [0] 12" xfId="544" xr:uid="{00000000-0005-0000-0000-00001A020000}"/>
    <cellStyle name="Comma [0] 12 2" xfId="545" xr:uid="{00000000-0005-0000-0000-00001B020000}"/>
    <cellStyle name="Comma [0] 12 3" xfId="546" xr:uid="{00000000-0005-0000-0000-00001C020000}"/>
    <cellStyle name="Comma [0] 13" xfId="547" xr:uid="{00000000-0005-0000-0000-00001D020000}"/>
    <cellStyle name="Comma [0] 13 2" xfId="548" xr:uid="{00000000-0005-0000-0000-00001E020000}"/>
    <cellStyle name="Comma [0] 13 3" xfId="549" xr:uid="{00000000-0005-0000-0000-00001F020000}"/>
    <cellStyle name="Comma [0] 13 3 2" xfId="550" xr:uid="{00000000-0005-0000-0000-000020020000}"/>
    <cellStyle name="Comma [0] 13 4" xfId="551" xr:uid="{00000000-0005-0000-0000-000021020000}"/>
    <cellStyle name="Comma [0] 13 4 2" xfId="552" xr:uid="{00000000-0005-0000-0000-000022020000}"/>
    <cellStyle name="Comma [0] 13 5" xfId="553" xr:uid="{00000000-0005-0000-0000-000023020000}"/>
    <cellStyle name="Comma [0] 13 6" xfId="554" xr:uid="{00000000-0005-0000-0000-000024020000}"/>
    <cellStyle name="Comma [0] 14" xfId="555" xr:uid="{00000000-0005-0000-0000-000025020000}"/>
    <cellStyle name="Comma [0] 14 2" xfId="556" xr:uid="{00000000-0005-0000-0000-000026020000}"/>
    <cellStyle name="Comma [0] 14 3" xfId="557" xr:uid="{00000000-0005-0000-0000-000027020000}"/>
    <cellStyle name="Comma [0] 14_RAB Plumbing Terminal jombor" xfId="558" xr:uid="{00000000-0005-0000-0000-000028020000}"/>
    <cellStyle name="Comma [0] 15" xfId="559" xr:uid="{00000000-0005-0000-0000-000029020000}"/>
    <cellStyle name="Comma [0] 15 2" xfId="560" xr:uid="{00000000-0005-0000-0000-00002A020000}"/>
    <cellStyle name="Comma [0] 16" xfId="561" xr:uid="{00000000-0005-0000-0000-00002B020000}"/>
    <cellStyle name="Comma [0] 16 10" xfId="562" xr:uid="{00000000-0005-0000-0000-00002C020000}"/>
    <cellStyle name="Comma [0] 16 10 2" xfId="563" xr:uid="{00000000-0005-0000-0000-00002D020000}"/>
    <cellStyle name="Comma [0] 16 11" xfId="564" xr:uid="{00000000-0005-0000-0000-00002E020000}"/>
    <cellStyle name="Comma [0] 16 2" xfId="565" xr:uid="{00000000-0005-0000-0000-00002F020000}"/>
    <cellStyle name="Comma [0] 16 2 2" xfId="566" xr:uid="{00000000-0005-0000-0000-000030020000}"/>
    <cellStyle name="Comma [0] 16 3" xfId="567" xr:uid="{00000000-0005-0000-0000-000031020000}"/>
    <cellStyle name="Comma [0] 16 3 2" xfId="568" xr:uid="{00000000-0005-0000-0000-000032020000}"/>
    <cellStyle name="Comma [0] 16 4" xfId="569" xr:uid="{00000000-0005-0000-0000-000033020000}"/>
    <cellStyle name="Comma [0] 16 4 2" xfId="570" xr:uid="{00000000-0005-0000-0000-000034020000}"/>
    <cellStyle name="Comma [0] 16 5" xfId="571" xr:uid="{00000000-0005-0000-0000-000035020000}"/>
    <cellStyle name="Comma [0] 16 5 2" xfId="572" xr:uid="{00000000-0005-0000-0000-000036020000}"/>
    <cellStyle name="Comma [0] 16 6" xfId="573" xr:uid="{00000000-0005-0000-0000-000037020000}"/>
    <cellStyle name="Comma [0] 16 6 2" xfId="574" xr:uid="{00000000-0005-0000-0000-000038020000}"/>
    <cellStyle name="Comma [0] 16 7" xfId="575" xr:uid="{00000000-0005-0000-0000-000039020000}"/>
    <cellStyle name="Comma [0] 16 7 2" xfId="576" xr:uid="{00000000-0005-0000-0000-00003A020000}"/>
    <cellStyle name="Comma [0] 16 8" xfId="577" xr:uid="{00000000-0005-0000-0000-00003B020000}"/>
    <cellStyle name="Comma [0] 16 8 2" xfId="578" xr:uid="{00000000-0005-0000-0000-00003C020000}"/>
    <cellStyle name="Comma [0] 16 9" xfId="579" xr:uid="{00000000-0005-0000-0000-00003D020000}"/>
    <cellStyle name="Comma [0] 16 9 2" xfId="580" xr:uid="{00000000-0005-0000-0000-00003E020000}"/>
    <cellStyle name="Comma [0] 16_RAB Plumbing Terminal jombor" xfId="581" xr:uid="{00000000-0005-0000-0000-00003F020000}"/>
    <cellStyle name="Comma [0] 17" xfId="582" xr:uid="{00000000-0005-0000-0000-000040020000}"/>
    <cellStyle name="Comma [0] 17 10" xfId="583" xr:uid="{00000000-0005-0000-0000-000041020000}"/>
    <cellStyle name="Comma [0] 17 10 2" xfId="584" xr:uid="{00000000-0005-0000-0000-000042020000}"/>
    <cellStyle name="Comma [0] 17 11" xfId="585" xr:uid="{00000000-0005-0000-0000-000043020000}"/>
    <cellStyle name="Comma [0] 17 2" xfId="586" xr:uid="{00000000-0005-0000-0000-000044020000}"/>
    <cellStyle name="Comma [0] 17 2 2" xfId="587" xr:uid="{00000000-0005-0000-0000-000045020000}"/>
    <cellStyle name="Comma [0] 17 2 3" xfId="588" xr:uid="{00000000-0005-0000-0000-000046020000}"/>
    <cellStyle name="Comma [0] 17 3" xfId="589" xr:uid="{00000000-0005-0000-0000-000047020000}"/>
    <cellStyle name="Comma [0] 17 3 2" xfId="590" xr:uid="{00000000-0005-0000-0000-000048020000}"/>
    <cellStyle name="Comma [0] 17 4" xfId="591" xr:uid="{00000000-0005-0000-0000-000049020000}"/>
    <cellStyle name="Comma [0] 17 4 2" xfId="592" xr:uid="{00000000-0005-0000-0000-00004A020000}"/>
    <cellStyle name="Comma [0] 17 5" xfId="593" xr:uid="{00000000-0005-0000-0000-00004B020000}"/>
    <cellStyle name="Comma [0] 17 5 2" xfId="594" xr:uid="{00000000-0005-0000-0000-00004C020000}"/>
    <cellStyle name="Comma [0] 17 6" xfId="595" xr:uid="{00000000-0005-0000-0000-00004D020000}"/>
    <cellStyle name="Comma [0] 17 6 2" xfId="596" xr:uid="{00000000-0005-0000-0000-00004E020000}"/>
    <cellStyle name="Comma [0] 17 7" xfId="597" xr:uid="{00000000-0005-0000-0000-00004F020000}"/>
    <cellStyle name="Comma [0] 17 7 2" xfId="598" xr:uid="{00000000-0005-0000-0000-000050020000}"/>
    <cellStyle name="Comma [0] 17 8" xfId="599" xr:uid="{00000000-0005-0000-0000-000051020000}"/>
    <cellStyle name="Comma [0] 17 8 2" xfId="600" xr:uid="{00000000-0005-0000-0000-000052020000}"/>
    <cellStyle name="Comma [0] 17 9" xfId="601" xr:uid="{00000000-0005-0000-0000-000053020000}"/>
    <cellStyle name="Comma [0] 17 9 2" xfId="602" xr:uid="{00000000-0005-0000-0000-000054020000}"/>
    <cellStyle name="Comma [0] 18" xfId="603" xr:uid="{00000000-0005-0000-0000-000055020000}"/>
    <cellStyle name="Comma [0] 18 10" xfId="604" xr:uid="{00000000-0005-0000-0000-000056020000}"/>
    <cellStyle name="Comma [0] 18 10 2" xfId="605" xr:uid="{00000000-0005-0000-0000-000057020000}"/>
    <cellStyle name="Comma [0] 18 11" xfId="606" xr:uid="{00000000-0005-0000-0000-000058020000}"/>
    <cellStyle name="Comma [0] 18 2" xfId="607" xr:uid="{00000000-0005-0000-0000-000059020000}"/>
    <cellStyle name="Comma [0] 18 2 2" xfId="608" xr:uid="{00000000-0005-0000-0000-00005A020000}"/>
    <cellStyle name="Comma [0] 18 3" xfId="609" xr:uid="{00000000-0005-0000-0000-00005B020000}"/>
    <cellStyle name="Comma [0] 18 3 2" xfId="610" xr:uid="{00000000-0005-0000-0000-00005C020000}"/>
    <cellStyle name="Comma [0] 18 4" xfId="611" xr:uid="{00000000-0005-0000-0000-00005D020000}"/>
    <cellStyle name="Comma [0] 18 4 2" xfId="612" xr:uid="{00000000-0005-0000-0000-00005E020000}"/>
    <cellStyle name="Comma [0] 18 5" xfId="613" xr:uid="{00000000-0005-0000-0000-00005F020000}"/>
    <cellStyle name="Comma [0] 18 5 2" xfId="614" xr:uid="{00000000-0005-0000-0000-000060020000}"/>
    <cellStyle name="Comma [0] 18 6" xfId="615" xr:uid="{00000000-0005-0000-0000-000061020000}"/>
    <cellStyle name="Comma [0] 18 6 2" xfId="616" xr:uid="{00000000-0005-0000-0000-000062020000}"/>
    <cellStyle name="Comma [0] 18 7" xfId="617" xr:uid="{00000000-0005-0000-0000-000063020000}"/>
    <cellStyle name="Comma [0] 18 7 2" xfId="618" xr:uid="{00000000-0005-0000-0000-000064020000}"/>
    <cellStyle name="Comma [0] 18 8" xfId="619" xr:uid="{00000000-0005-0000-0000-000065020000}"/>
    <cellStyle name="Comma [0] 18 8 2" xfId="620" xr:uid="{00000000-0005-0000-0000-000066020000}"/>
    <cellStyle name="Comma [0] 18 9" xfId="621" xr:uid="{00000000-0005-0000-0000-000067020000}"/>
    <cellStyle name="Comma [0] 18 9 2" xfId="622" xr:uid="{00000000-0005-0000-0000-000068020000}"/>
    <cellStyle name="Comma [0] 18_RAB Plumbing Terminal jombor" xfId="623" xr:uid="{00000000-0005-0000-0000-000069020000}"/>
    <cellStyle name="Comma [0] 19" xfId="624" xr:uid="{00000000-0005-0000-0000-00006A020000}"/>
    <cellStyle name="Comma [0] 19 10" xfId="625" xr:uid="{00000000-0005-0000-0000-00006B020000}"/>
    <cellStyle name="Comma [0] 19 10 2" xfId="626" xr:uid="{00000000-0005-0000-0000-00006C020000}"/>
    <cellStyle name="Comma [0] 19 11" xfId="627" xr:uid="{00000000-0005-0000-0000-00006D020000}"/>
    <cellStyle name="Comma [0] 19 2" xfId="628" xr:uid="{00000000-0005-0000-0000-00006E020000}"/>
    <cellStyle name="Comma [0] 19 2 2" xfId="629" xr:uid="{00000000-0005-0000-0000-00006F020000}"/>
    <cellStyle name="Comma [0] 19 3" xfId="630" xr:uid="{00000000-0005-0000-0000-000070020000}"/>
    <cellStyle name="Comma [0] 19 3 2" xfId="631" xr:uid="{00000000-0005-0000-0000-000071020000}"/>
    <cellStyle name="Comma [0] 19 4" xfId="632" xr:uid="{00000000-0005-0000-0000-000072020000}"/>
    <cellStyle name="Comma [0] 19 4 2" xfId="633" xr:uid="{00000000-0005-0000-0000-000073020000}"/>
    <cellStyle name="Comma [0] 19 5" xfId="634" xr:uid="{00000000-0005-0000-0000-000074020000}"/>
    <cellStyle name="Comma [0] 19 5 2" xfId="635" xr:uid="{00000000-0005-0000-0000-000075020000}"/>
    <cellStyle name="Comma [0] 19 6" xfId="636" xr:uid="{00000000-0005-0000-0000-000076020000}"/>
    <cellStyle name="Comma [0] 19 6 2" xfId="637" xr:uid="{00000000-0005-0000-0000-000077020000}"/>
    <cellStyle name="Comma [0] 19 7" xfId="638" xr:uid="{00000000-0005-0000-0000-000078020000}"/>
    <cellStyle name="Comma [0] 19 7 2" xfId="639" xr:uid="{00000000-0005-0000-0000-000079020000}"/>
    <cellStyle name="Comma [0] 19 8" xfId="640" xr:uid="{00000000-0005-0000-0000-00007A020000}"/>
    <cellStyle name="Comma [0] 19 8 2" xfId="641" xr:uid="{00000000-0005-0000-0000-00007B020000}"/>
    <cellStyle name="Comma [0] 19 9" xfId="642" xr:uid="{00000000-0005-0000-0000-00007C020000}"/>
    <cellStyle name="Comma [0] 19 9 2" xfId="643" xr:uid="{00000000-0005-0000-0000-00007D020000}"/>
    <cellStyle name="Comma [0] 19_RAB Plumbing Terminal jombor" xfId="644" xr:uid="{00000000-0005-0000-0000-00007E020000}"/>
    <cellStyle name="Comma [0] 2" xfId="2" xr:uid="{00000000-0005-0000-0000-00007F020000}"/>
    <cellStyle name="Comma [0] 2 10" xfId="646" xr:uid="{00000000-0005-0000-0000-000080020000}"/>
    <cellStyle name="Comma [0] 2 11" xfId="647" xr:uid="{00000000-0005-0000-0000-000081020000}"/>
    <cellStyle name="Comma [0] 2 12" xfId="648" xr:uid="{00000000-0005-0000-0000-000082020000}"/>
    <cellStyle name="Comma [0] 2 13" xfId="649" xr:uid="{00000000-0005-0000-0000-000083020000}"/>
    <cellStyle name="Comma [0] 2 14" xfId="650" xr:uid="{00000000-0005-0000-0000-000084020000}"/>
    <cellStyle name="Comma [0] 2 15" xfId="651" xr:uid="{00000000-0005-0000-0000-000085020000}"/>
    <cellStyle name="Comma [0] 2 16" xfId="652" xr:uid="{00000000-0005-0000-0000-000086020000}"/>
    <cellStyle name="Comma [0] 2 17" xfId="653" xr:uid="{00000000-0005-0000-0000-000087020000}"/>
    <cellStyle name="Comma [0] 2 18" xfId="654" xr:uid="{00000000-0005-0000-0000-000088020000}"/>
    <cellStyle name="Comma [0] 2 19" xfId="655" xr:uid="{00000000-0005-0000-0000-000089020000}"/>
    <cellStyle name="Comma [0] 2 2" xfId="656" xr:uid="{00000000-0005-0000-0000-00008A020000}"/>
    <cellStyle name="Comma [0] 2 2 2" xfId="657" xr:uid="{00000000-0005-0000-0000-00008B020000}"/>
    <cellStyle name="Comma [0] 2 2 2 2" xfId="658" xr:uid="{00000000-0005-0000-0000-00008C020000}"/>
    <cellStyle name="Comma [0] 2 2 2 2 2" xfId="659" xr:uid="{00000000-0005-0000-0000-00008D020000}"/>
    <cellStyle name="Comma [0] 2 2 2 3" xfId="660" xr:uid="{00000000-0005-0000-0000-00008E020000}"/>
    <cellStyle name="Comma [0] 2 2 3" xfId="661" xr:uid="{00000000-0005-0000-0000-00008F020000}"/>
    <cellStyle name="Comma [0] 2 2 4" xfId="662" xr:uid="{00000000-0005-0000-0000-000090020000}"/>
    <cellStyle name="Comma [0] 2 2_MASTER ANALISA" xfId="663" xr:uid="{00000000-0005-0000-0000-000091020000}"/>
    <cellStyle name="Comma [0] 2 20" xfId="664" xr:uid="{00000000-0005-0000-0000-000092020000}"/>
    <cellStyle name="Comma [0] 2 21" xfId="665" xr:uid="{00000000-0005-0000-0000-000093020000}"/>
    <cellStyle name="Comma [0] 2 22" xfId="666" xr:uid="{00000000-0005-0000-0000-000094020000}"/>
    <cellStyle name="Comma [0] 2 23" xfId="667" xr:uid="{00000000-0005-0000-0000-000095020000}"/>
    <cellStyle name="Comma [0] 2 24" xfId="668" xr:uid="{00000000-0005-0000-0000-000096020000}"/>
    <cellStyle name="Comma [0] 2 25" xfId="669" xr:uid="{00000000-0005-0000-0000-000097020000}"/>
    <cellStyle name="Comma [0] 2 26" xfId="645" xr:uid="{00000000-0005-0000-0000-000098020000}"/>
    <cellStyle name="Comma [0] 2 3" xfId="670" xr:uid="{00000000-0005-0000-0000-000099020000}"/>
    <cellStyle name="Comma [0] 2 3 2" xfId="671" xr:uid="{00000000-0005-0000-0000-00009A020000}"/>
    <cellStyle name="Comma [0] 2 3 3" xfId="672" xr:uid="{00000000-0005-0000-0000-00009B020000}"/>
    <cellStyle name="Comma [0] 2 35" xfId="673" xr:uid="{00000000-0005-0000-0000-00009C020000}"/>
    <cellStyle name="Comma [0] 2 4" xfId="674" xr:uid="{00000000-0005-0000-0000-00009D020000}"/>
    <cellStyle name="Comma [0] 2 4 2" xfId="675" xr:uid="{00000000-0005-0000-0000-00009E020000}"/>
    <cellStyle name="Comma [0] 2 5" xfId="676" xr:uid="{00000000-0005-0000-0000-00009F020000}"/>
    <cellStyle name="Comma [0] 2 5 2" xfId="677" xr:uid="{00000000-0005-0000-0000-0000A0020000}"/>
    <cellStyle name="Comma [0] 2 5 2 2" xfId="678" xr:uid="{00000000-0005-0000-0000-0000A1020000}"/>
    <cellStyle name="Comma [0] 2 6" xfId="679" xr:uid="{00000000-0005-0000-0000-0000A2020000}"/>
    <cellStyle name="Comma [0] 2 6 2" xfId="680" xr:uid="{00000000-0005-0000-0000-0000A3020000}"/>
    <cellStyle name="Comma [0] 2 7" xfId="681" xr:uid="{00000000-0005-0000-0000-0000A4020000}"/>
    <cellStyle name="Comma [0] 2 7 2" xfId="682" xr:uid="{00000000-0005-0000-0000-0000A5020000}"/>
    <cellStyle name="Comma [0] 2 8" xfId="683" xr:uid="{00000000-0005-0000-0000-0000A6020000}"/>
    <cellStyle name="Comma [0] 2 9" xfId="684" xr:uid="{00000000-0005-0000-0000-0000A7020000}"/>
    <cellStyle name="Comma [0] 2 9 2" xfId="685" xr:uid="{00000000-0005-0000-0000-0000A8020000}"/>
    <cellStyle name="Comma [0] 2_00. ANALISA SNI VER. PU KDR. 29 NOV 07 OE" xfId="686" xr:uid="{00000000-0005-0000-0000-0000A9020000}"/>
    <cellStyle name="Comma [0] 20" xfId="687" xr:uid="{00000000-0005-0000-0000-0000AA020000}"/>
    <cellStyle name="Comma [0] 20 10" xfId="688" xr:uid="{00000000-0005-0000-0000-0000AB020000}"/>
    <cellStyle name="Comma [0] 20 10 2" xfId="689" xr:uid="{00000000-0005-0000-0000-0000AC020000}"/>
    <cellStyle name="Comma [0] 20 11" xfId="690" xr:uid="{00000000-0005-0000-0000-0000AD020000}"/>
    <cellStyle name="Comma [0] 20 2" xfId="691" xr:uid="{00000000-0005-0000-0000-0000AE020000}"/>
    <cellStyle name="Comma [0] 20 2 2" xfId="692" xr:uid="{00000000-0005-0000-0000-0000AF020000}"/>
    <cellStyle name="Comma [0] 20 3" xfId="693" xr:uid="{00000000-0005-0000-0000-0000B0020000}"/>
    <cellStyle name="Comma [0] 20 3 2" xfId="694" xr:uid="{00000000-0005-0000-0000-0000B1020000}"/>
    <cellStyle name="Comma [0] 20 4" xfId="695" xr:uid="{00000000-0005-0000-0000-0000B2020000}"/>
    <cellStyle name="Comma [0] 20 4 2" xfId="696" xr:uid="{00000000-0005-0000-0000-0000B3020000}"/>
    <cellStyle name="Comma [0] 20 5" xfId="697" xr:uid="{00000000-0005-0000-0000-0000B4020000}"/>
    <cellStyle name="Comma [0] 20 5 2" xfId="698" xr:uid="{00000000-0005-0000-0000-0000B5020000}"/>
    <cellStyle name="Comma [0] 20 6" xfId="699" xr:uid="{00000000-0005-0000-0000-0000B6020000}"/>
    <cellStyle name="Comma [0] 20 6 2" xfId="700" xr:uid="{00000000-0005-0000-0000-0000B7020000}"/>
    <cellStyle name="Comma [0] 20 7" xfId="701" xr:uid="{00000000-0005-0000-0000-0000B8020000}"/>
    <cellStyle name="Comma [0] 20 7 2" xfId="702" xr:uid="{00000000-0005-0000-0000-0000B9020000}"/>
    <cellStyle name="Comma [0] 20 8" xfId="703" xr:uid="{00000000-0005-0000-0000-0000BA020000}"/>
    <cellStyle name="Comma [0] 20 8 2" xfId="704" xr:uid="{00000000-0005-0000-0000-0000BB020000}"/>
    <cellStyle name="Comma [0] 20 9" xfId="705" xr:uid="{00000000-0005-0000-0000-0000BC020000}"/>
    <cellStyle name="Comma [0] 20 9 2" xfId="706" xr:uid="{00000000-0005-0000-0000-0000BD020000}"/>
    <cellStyle name="Comma [0] 20_RAB Plumbing Terminal jombor" xfId="707" xr:uid="{00000000-0005-0000-0000-0000BE020000}"/>
    <cellStyle name="Comma [0] 21" xfId="708" xr:uid="{00000000-0005-0000-0000-0000BF020000}"/>
    <cellStyle name="Comma [0] 21 2" xfId="709" xr:uid="{00000000-0005-0000-0000-0000C0020000}"/>
    <cellStyle name="Comma [0] 22" xfId="710" xr:uid="{00000000-0005-0000-0000-0000C1020000}"/>
    <cellStyle name="Comma [0] 22 2" xfId="711" xr:uid="{00000000-0005-0000-0000-0000C2020000}"/>
    <cellStyle name="Comma [0] 23" xfId="712" xr:uid="{00000000-0005-0000-0000-0000C3020000}"/>
    <cellStyle name="Comma [0] 23 10" xfId="713" xr:uid="{00000000-0005-0000-0000-0000C4020000}"/>
    <cellStyle name="Comma [0] 23 10 2" xfId="714" xr:uid="{00000000-0005-0000-0000-0000C5020000}"/>
    <cellStyle name="Comma [0] 23 11" xfId="715" xr:uid="{00000000-0005-0000-0000-0000C6020000}"/>
    <cellStyle name="Comma [0] 23 2" xfId="716" xr:uid="{00000000-0005-0000-0000-0000C7020000}"/>
    <cellStyle name="Comma [0] 23 2 2" xfId="717" xr:uid="{00000000-0005-0000-0000-0000C8020000}"/>
    <cellStyle name="Comma [0] 23 3" xfId="718" xr:uid="{00000000-0005-0000-0000-0000C9020000}"/>
    <cellStyle name="Comma [0] 23 3 2" xfId="719" xr:uid="{00000000-0005-0000-0000-0000CA020000}"/>
    <cellStyle name="Comma [0] 23 4" xfId="720" xr:uid="{00000000-0005-0000-0000-0000CB020000}"/>
    <cellStyle name="Comma [0] 23 4 2" xfId="721" xr:uid="{00000000-0005-0000-0000-0000CC020000}"/>
    <cellStyle name="Comma [0] 23 5" xfId="722" xr:uid="{00000000-0005-0000-0000-0000CD020000}"/>
    <cellStyle name="Comma [0] 23 5 2" xfId="723" xr:uid="{00000000-0005-0000-0000-0000CE020000}"/>
    <cellStyle name="Comma [0] 23 6" xfId="724" xr:uid="{00000000-0005-0000-0000-0000CF020000}"/>
    <cellStyle name="Comma [0] 23 6 2" xfId="725" xr:uid="{00000000-0005-0000-0000-0000D0020000}"/>
    <cellStyle name="Comma [0] 23 7" xfId="726" xr:uid="{00000000-0005-0000-0000-0000D1020000}"/>
    <cellStyle name="Comma [0] 23 7 2" xfId="727" xr:uid="{00000000-0005-0000-0000-0000D2020000}"/>
    <cellStyle name="Comma [0] 23 8" xfId="728" xr:uid="{00000000-0005-0000-0000-0000D3020000}"/>
    <cellStyle name="Comma [0] 23 8 2" xfId="729" xr:uid="{00000000-0005-0000-0000-0000D4020000}"/>
    <cellStyle name="Comma [0] 23 9" xfId="730" xr:uid="{00000000-0005-0000-0000-0000D5020000}"/>
    <cellStyle name="Comma [0] 23 9 2" xfId="731" xr:uid="{00000000-0005-0000-0000-0000D6020000}"/>
    <cellStyle name="Comma [0] 23_RAB Plumbing Terminal jombor" xfId="732" xr:uid="{00000000-0005-0000-0000-0000D7020000}"/>
    <cellStyle name="Comma [0] 24" xfId="733" xr:uid="{00000000-0005-0000-0000-0000D8020000}"/>
    <cellStyle name="Comma [0] 24 2" xfId="734" xr:uid="{00000000-0005-0000-0000-0000D9020000}"/>
    <cellStyle name="Comma [0] 25" xfId="735" xr:uid="{00000000-0005-0000-0000-0000DA020000}"/>
    <cellStyle name="Comma [0] 25 2" xfId="736" xr:uid="{00000000-0005-0000-0000-0000DB020000}"/>
    <cellStyle name="Comma [0] 26" xfId="737" xr:uid="{00000000-0005-0000-0000-0000DC020000}"/>
    <cellStyle name="Comma [0] 26 2" xfId="738" xr:uid="{00000000-0005-0000-0000-0000DD020000}"/>
    <cellStyle name="Comma [0] 26 2 2" xfId="739" xr:uid="{00000000-0005-0000-0000-0000DE020000}"/>
    <cellStyle name="Comma [0] 26 2 3" xfId="740" xr:uid="{00000000-0005-0000-0000-0000DF020000}"/>
    <cellStyle name="Comma [0] 26 2 4" xfId="741" xr:uid="{00000000-0005-0000-0000-0000E0020000}"/>
    <cellStyle name="Comma [0] 26 3" xfId="742" xr:uid="{00000000-0005-0000-0000-0000E1020000}"/>
    <cellStyle name="Comma [0] 27" xfId="743" xr:uid="{00000000-0005-0000-0000-0000E2020000}"/>
    <cellStyle name="Comma [0] 27 2" xfId="744" xr:uid="{00000000-0005-0000-0000-0000E3020000}"/>
    <cellStyle name="Comma [0] 27 2 2" xfId="745" xr:uid="{00000000-0005-0000-0000-0000E4020000}"/>
    <cellStyle name="Comma [0] 27 2 2 5" xfId="746" xr:uid="{00000000-0005-0000-0000-0000E5020000}"/>
    <cellStyle name="Comma [0] 27 2 3" xfId="747" xr:uid="{00000000-0005-0000-0000-0000E6020000}"/>
    <cellStyle name="Comma [0] 28" xfId="748" xr:uid="{00000000-0005-0000-0000-0000E7020000}"/>
    <cellStyle name="Comma [0] 28 2" xfId="749" xr:uid="{00000000-0005-0000-0000-0000E8020000}"/>
    <cellStyle name="Comma [0] 28 3" xfId="750" xr:uid="{00000000-0005-0000-0000-0000E9020000}"/>
    <cellStyle name="Comma [0] 29" xfId="751" xr:uid="{00000000-0005-0000-0000-0000EA020000}"/>
    <cellStyle name="Comma [0] 3" xfId="752" xr:uid="{00000000-0005-0000-0000-0000EB020000}"/>
    <cellStyle name="Comma [0] 3 10" xfId="753" xr:uid="{00000000-0005-0000-0000-0000EC020000}"/>
    <cellStyle name="Comma [0] 3 11" xfId="754" xr:uid="{00000000-0005-0000-0000-0000ED020000}"/>
    <cellStyle name="Comma [0] 3 12" xfId="755" xr:uid="{00000000-0005-0000-0000-0000EE020000}"/>
    <cellStyle name="Comma [0] 3 13" xfId="756" xr:uid="{00000000-0005-0000-0000-0000EF020000}"/>
    <cellStyle name="Comma [0] 3 14" xfId="757" xr:uid="{00000000-0005-0000-0000-0000F0020000}"/>
    <cellStyle name="Comma [0] 3 15" xfId="758" xr:uid="{00000000-0005-0000-0000-0000F1020000}"/>
    <cellStyle name="Comma [0] 3 2" xfId="759" xr:uid="{00000000-0005-0000-0000-0000F2020000}"/>
    <cellStyle name="Comma [0] 3 2 2" xfId="760" xr:uid="{00000000-0005-0000-0000-0000F3020000}"/>
    <cellStyle name="Comma [0] 3 3" xfId="761" xr:uid="{00000000-0005-0000-0000-0000F4020000}"/>
    <cellStyle name="Comma [0] 3 3 2" xfId="762" xr:uid="{00000000-0005-0000-0000-0000F5020000}"/>
    <cellStyle name="Comma [0] 3 4" xfId="763" xr:uid="{00000000-0005-0000-0000-0000F6020000}"/>
    <cellStyle name="Comma [0] 3 4 2" xfId="764" xr:uid="{00000000-0005-0000-0000-0000F7020000}"/>
    <cellStyle name="Comma [0] 3 5" xfId="765" xr:uid="{00000000-0005-0000-0000-0000F8020000}"/>
    <cellStyle name="Comma [0] 3 5 2" xfId="766" xr:uid="{00000000-0005-0000-0000-0000F9020000}"/>
    <cellStyle name="Comma [0] 3 6" xfId="767" xr:uid="{00000000-0005-0000-0000-0000FA020000}"/>
    <cellStyle name="Comma [0] 3 6 2" xfId="768" xr:uid="{00000000-0005-0000-0000-0000FB020000}"/>
    <cellStyle name="Comma [0] 3 7" xfId="769" xr:uid="{00000000-0005-0000-0000-0000FC020000}"/>
    <cellStyle name="Comma [0] 3 8" xfId="770" xr:uid="{00000000-0005-0000-0000-0000FD020000}"/>
    <cellStyle name="Comma [0] 3 8 2" xfId="771" xr:uid="{00000000-0005-0000-0000-0000FE020000}"/>
    <cellStyle name="Comma [0] 3 9" xfId="772" xr:uid="{00000000-0005-0000-0000-0000FF020000}"/>
    <cellStyle name="Comma [0] 30" xfId="773" xr:uid="{00000000-0005-0000-0000-000000030000}"/>
    <cellStyle name="Comma [0] 31" xfId="774" xr:uid="{00000000-0005-0000-0000-000001030000}"/>
    <cellStyle name="Comma [0] 32" xfId="775" xr:uid="{00000000-0005-0000-0000-000002030000}"/>
    <cellStyle name="Comma [0] 33" xfId="525" xr:uid="{00000000-0005-0000-0000-000003030000}"/>
    <cellStyle name="Comma [0] 34" xfId="776" xr:uid="{00000000-0005-0000-0000-000004030000}"/>
    <cellStyle name="Comma [0] 35" xfId="2021" xr:uid="{00000000-0005-0000-0000-000005030000}"/>
    <cellStyle name="Comma [0] 36" xfId="2022" xr:uid="{00000000-0005-0000-0000-000006030000}"/>
    <cellStyle name="Comma [0] 4" xfId="777" xr:uid="{00000000-0005-0000-0000-000007030000}"/>
    <cellStyle name="Comma [0] 4 2" xfId="778" xr:uid="{00000000-0005-0000-0000-000008030000}"/>
    <cellStyle name="Comma [0] 4 2 2" xfId="779" xr:uid="{00000000-0005-0000-0000-000009030000}"/>
    <cellStyle name="Comma [0] 4 3" xfId="780" xr:uid="{00000000-0005-0000-0000-00000A030000}"/>
    <cellStyle name="Comma [0] 4 3 2" xfId="781" xr:uid="{00000000-0005-0000-0000-00000B030000}"/>
    <cellStyle name="Comma [0] 4 4" xfId="782" xr:uid="{00000000-0005-0000-0000-00000C030000}"/>
    <cellStyle name="Comma [0] 4 4 2" xfId="783" xr:uid="{00000000-0005-0000-0000-00000D030000}"/>
    <cellStyle name="Comma [0] 4 5" xfId="784" xr:uid="{00000000-0005-0000-0000-00000E030000}"/>
    <cellStyle name="Comma [0] 4 5 2" xfId="785" xr:uid="{00000000-0005-0000-0000-00000F030000}"/>
    <cellStyle name="Comma [0] 4 6" xfId="786" xr:uid="{00000000-0005-0000-0000-000010030000}"/>
    <cellStyle name="Comma [0] 4 6 2" xfId="787" xr:uid="{00000000-0005-0000-0000-000011030000}"/>
    <cellStyle name="Comma [0] 4 7" xfId="788" xr:uid="{00000000-0005-0000-0000-000012030000}"/>
    <cellStyle name="Comma [0] 5" xfId="789" xr:uid="{00000000-0005-0000-0000-000013030000}"/>
    <cellStyle name="Comma [0] 5 2" xfId="790" xr:uid="{00000000-0005-0000-0000-000014030000}"/>
    <cellStyle name="Comma [0] 5 2 10" xfId="791" xr:uid="{00000000-0005-0000-0000-000015030000}"/>
    <cellStyle name="Comma [0] 5 2 10 2" xfId="792" xr:uid="{00000000-0005-0000-0000-000016030000}"/>
    <cellStyle name="Comma [0] 5 2 11" xfId="793" xr:uid="{00000000-0005-0000-0000-000017030000}"/>
    <cellStyle name="Comma [0] 5 2 11 2" xfId="794" xr:uid="{00000000-0005-0000-0000-000018030000}"/>
    <cellStyle name="Comma [0] 5 2 12" xfId="795" xr:uid="{00000000-0005-0000-0000-000019030000}"/>
    <cellStyle name="Comma [0] 5 2 12 2" xfId="796" xr:uid="{00000000-0005-0000-0000-00001A030000}"/>
    <cellStyle name="Comma [0] 5 2 13" xfId="797" xr:uid="{00000000-0005-0000-0000-00001B030000}"/>
    <cellStyle name="Comma [0] 5 2 2" xfId="798" xr:uid="{00000000-0005-0000-0000-00001C030000}"/>
    <cellStyle name="Comma [0] 5 2 2 2" xfId="799" xr:uid="{00000000-0005-0000-0000-00001D030000}"/>
    <cellStyle name="Comma [0] 5 2 3" xfId="800" xr:uid="{00000000-0005-0000-0000-00001E030000}"/>
    <cellStyle name="Comma [0] 5 2 3 2" xfId="801" xr:uid="{00000000-0005-0000-0000-00001F030000}"/>
    <cellStyle name="Comma [0] 5 2 3 3" xfId="802" xr:uid="{00000000-0005-0000-0000-000020030000}"/>
    <cellStyle name="Comma [0] 5 2 4" xfId="803" xr:uid="{00000000-0005-0000-0000-000021030000}"/>
    <cellStyle name="Comma [0] 5 2 4 2" xfId="804" xr:uid="{00000000-0005-0000-0000-000022030000}"/>
    <cellStyle name="Comma [0] 5 2 5" xfId="805" xr:uid="{00000000-0005-0000-0000-000023030000}"/>
    <cellStyle name="Comma [0] 5 2 5 2" xfId="806" xr:uid="{00000000-0005-0000-0000-000024030000}"/>
    <cellStyle name="Comma [0] 5 2 6" xfId="807" xr:uid="{00000000-0005-0000-0000-000025030000}"/>
    <cellStyle name="Comma [0] 5 2 6 2" xfId="808" xr:uid="{00000000-0005-0000-0000-000026030000}"/>
    <cellStyle name="Comma [0] 5 2 7" xfId="809" xr:uid="{00000000-0005-0000-0000-000027030000}"/>
    <cellStyle name="Comma [0] 5 2 7 2" xfId="810" xr:uid="{00000000-0005-0000-0000-000028030000}"/>
    <cellStyle name="Comma [0] 5 2 8" xfId="811" xr:uid="{00000000-0005-0000-0000-000029030000}"/>
    <cellStyle name="Comma [0] 5 2 8 2" xfId="812" xr:uid="{00000000-0005-0000-0000-00002A030000}"/>
    <cellStyle name="Comma [0] 5 2 9" xfId="813" xr:uid="{00000000-0005-0000-0000-00002B030000}"/>
    <cellStyle name="Comma [0] 5 2 9 2" xfId="814" xr:uid="{00000000-0005-0000-0000-00002C030000}"/>
    <cellStyle name="Comma [0] 5 3" xfId="815" xr:uid="{00000000-0005-0000-0000-00002D030000}"/>
    <cellStyle name="Comma [0] 5 3 2" xfId="816" xr:uid="{00000000-0005-0000-0000-00002E030000}"/>
    <cellStyle name="Comma [0] 5 4" xfId="817" xr:uid="{00000000-0005-0000-0000-00002F030000}"/>
    <cellStyle name="Comma [0] 5 4 2" xfId="818" xr:uid="{00000000-0005-0000-0000-000030030000}"/>
    <cellStyle name="Comma [0] 5 5" xfId="819" xr:uid="{00000000-0005-0000-0000-000031030000}"/>
    <cellStyle name="Comma [0] 5 5 2" xfId="820" xr:uid="{00000000-0005-0000-0000-000032030000}"/>
    <cellStyle name="Comma [0] 5 6" xfId="821" xr:uid="{00000000-0005-0000-0000-000033030000}"/>
    <cellStyle name="Comma [0] 5 6 2" xfId="822" xr:uid="{00000000-0005-0000-0000-000034030000}"/>
    <cellStyle name="Comma [0] 5 7" xfId="823" xr:uid="{00000000-0005-0000-0000-000035030000}"/>
    <cellStyle name="Comma [0] 5 7 2" xfId="824" xr:uid="{00000000-0005-0000-0000-000036030000}"/>
    <cellStyle name="Comma [0] 5 8" xfId="825" xr:uid="{00000000-0005-0000-0000-000037030000}"/>
    <cellStyle name="Comma [0] 51" xfId="826" xr:uid="{00000000-0005-0000-0000-000038030000}"/>
    <cellStyle name="Comma [0] 6" xfId="827" xr:uid="{00000000-0005-0000-0000-000039030000}"/>
    <cellStyle name="Comma [0] 6 10" xfId="828" xr:uid="{00000000-0005-0000-0000-00003A030000}"/>
    <cellStyle name="Comma [0] 6 10 2" xfId="829" xr:uid="{00000000-0005-0000-0000-00003B030000}"/>
    <cellStyle name="Comma [0] 6 11" xfId="830" xr:uid="{00000000-0005-0000-0000-00003C030000}"/>
    <cellStyle name="Comma [0] 6 11 2" xfId="831" xr:uid="{00000000-0005-0000-0000-00003D030000}"/>
    <cellStyle name="Comma [0] 6 12" xfId="832" xr:uid="{00000000-0005-0000-0000-00003E030000}"/>
    <cellStyle name="Comma [0] 6 12 2" xfId="833" xr:uid="{00000000-0005-0000-0000-00003F030000}"/>
    <cellStyle name="Comma [0] 6 13" xfId="834" xr:uid="{00000000-0005-0000-0000-000040030000}"/>
    <cellStyle name="Comma [0] 6 13 2" xfId="835" xr:uid="{00000000-0005-0000-0000-000041030000}"/>
    <cellStyle name="Comma [0] 6 14" xfId="836" xr:uid="{00000000-0005-0000-0000-000042030000}"/>
    <cellStyle name="Comma [0] 6 14 2" xfId="837" xr:uid="{00000000-0005-0000-0000-000043030000}"/>
    <cellStyle name="Comma [0] 6 15" xfId="838" xr:uid="{00000000-0005-0000-0000-000044030000}"/>
    <cellStyle name="Comma [0] 6 15 2" xfId="839" xr:uid="{00000000-0005-0000-0000-000045030000}"/>
    <cellStyle name="Comma [0] 6 16" xfId="840" xr:uid="{00000000-0005-0000-0000-000046030000}"/>
    <cellStyle name="Comma [0] 6 16 2" xfId="841" xr:uid="{00000000-0005-0000-0000-000047030000}"/>
    <cellStyle name="Comma [0] 6 17" xfId="842" xr:uid="{00000000-0005-0000-0000-000048030000}"/>
    <cellStyle name="Comma [0] 6 17 2" xfId="843" xr:uid="{00000000-0005-0000-0000-000049030000}"/>
    <cellStyle name="Comma [0] 6 18" xfId="844" xr:uid="{00000000-0005-0000-0000-00004A030000}"/>
    <cellStyle name="Comma [0] 6 18 2" xfId="845" xr:uid="{00000000-0005-0000-0000-00004B030000}"/>
    <cellStyle name="Comma [0] 6 19" xfId="846" xr:uid="{00000000-0005-0000-0000-00004C030000}"/>
    <cellStyle name="Comma [0] 6 2" xfId="847" xr:uid="{00000000-0005-0000-0000-00004D030000}"/>
    <cellStyle name="Comma [0] 6 2 2" xfId="848" xr:uid="{00000000-0005-0000-0000-00004E030000}"/>
    <cellStyle name="Comma [0] 6 2 2 2" xfId="849" xr:uid="{00000000-0005-0000-0000-00004F030000}"/>
    <cellStyle name="Comma [0] 6 2 3" xfId="850" xr:uid="{00000000-0005-0000-0000-000050030000}"/>
    <cellStyle name="Comma [0] 6 3" xfId="851" xr:uid="{00000000-0005-0000-0000-000051030000}"/>
    <cellStyle name="Comma [0] 6 3 2" xfId="852" xr:uid="{00000000-0005-0000-0000-000052030000}"/>
    <cellStyle name="Comma [0] 6 4" xfId="853" xr:uid="{00000000-0005-0000-0000-000053030000}"/>
    <cellStyle name="Comma [0] 6 4 2" xfId="854" xr:uid="{00000000-0005-0000-0000-000054030000}"/>
    <cellStyle name="Comma [0] 6 5" xfId="855" xr:uid="{00000000-0005-0000-0000-000055030000}"/>
    <cellStyle name="Comma [0] 6 5 2" xfId="856" xr:uid="{00000000-0005-0000-0000-000056030000}"/>
    <cellStyle name="Comma [0] 6 6" xfId="857" xr:uid="{00000000-0005-0000-0000-000057030000}"/>
    <cellStyle name="Comma [0] 6 6 2" xfId="858" xr:uid="{00000000-0005-0000-0000-000058030000}"/>
    <cellStyle name="Comma [0] 6 7" xfId="859" xr:uid="{00000000-0005-0000-0000-000059030000}"/>
    <cellStyle name="Comma [0] 6 7 2" xfId="860" xr:uid="{00000000-0005-0000-0000-00005A030000}"/>
    <cellStyle name="Comma [0] 6 8" xfId="861" xr:uid="{00000000-0005-0000-0000-00005B030000}"/>
    <cellStyle name="Comma [0] 6 8 2" xfId="862" xr:uid="{00000000-0005-0000-0000-00005C030000}"/>
    <cellStyle name="Comma [0] 6 9" xfId="863" xr:uid="{00000000-0005-0000-0000-00005D030000}"/>
    <cellStyle name="Comma [0] 6 9 2" xfId="864" xr:uid="{00000000-0005-0000-0000-00005E030000}"/>
    <cellStyle name="Comma [0] 7" xfId="865" xr:uid="{00000000-0005-0000-0000-00005F030000}"/>
    <cellStyle name="Comma [0] 7 10" xfId="866" xr:uid="{00000000-0005-0000-0000-000060030000}"/>
    <cellStyle name="Comma [0] 7 10 2" xfId="867" xr:uid="{00000000-0005-0000-0000-000061030000}"/>
    <cellStyle name="Comma [0] 7 11" xfId="868" xr:uid="{00000000-0005-0000-0000-000062030000}"/>
    <cellStyle name="Comma [0] 7 2" xfId="869" xr:uid="{00000000-0005-0000-0000-000063030000}"/>
    <cellStyle name="Comma [0] 7 2 2" xfId="870" xr:uid="{00000000-0005-0000-0000-000064030000}"/>
    <cellStyle name="Comma [0] 7 3" xfId="871" xr:uid="{00000000-0005-0000-0000-000065030000}"/>
    <cellStyle name="Comma [0] 7 3 2" xfId="872" xr:uid="{00000000-0005-0000-0000-000066030000}"/>
    <cellStyle name="Comma [0] 7 4" xfId="873" xr:uid="{00000000-0005-0000-0000-000067030000}"/>
    <cellStyle name="Comma [0] 7 4 2" xfId="874" xr:uid="{00000000-0005-0000-0000-000068030000}"/>
    <cellStyle name="Comma [0] 7 5" xfId="875" xr:uid="{00000000-0005-0000-0000-000069030000}"/>
    <cellStyle name="Comma [0] 7 5 2" xfId="876" xr:uid="{00000000-0005-0000-0000-00006A030000}"/>
    <cellStyle name="Comma [0] 7 6" xfId="877" xr:uid="{00000000-0005-0000-0000-00006B030000}"/>
    <cellStyle name="Comma [0] 7 6 2" xfId="878" xr:uid="{00000000-0005-0000-0000-00006C030000}"/>
    <cellStyle name="Comma [0] 7 7" xfId="879" xr:uid="{00000000-0005-0000-0000-00006D030000}"/>
    <cellStyle name="Comma [0] 7 7 2" xfId="880" xr:uid="{00000000-0005-0000-0000-00006E030000}"/>
    <cellStyle name="Comma [0] 7 8" xfId="881" xr:uid="{00000000-0005-0000-0000-00006F030000}"/>
    <cellStyle name="Comma [0] 7 8 2" xfId="882" xr:uid="{00000000-0005-0000-0000-000070030000}"/>
    <cellStyle name="Comma [0] 7 9" xfId="883" xr:uid="{00000000-0005-0000-0000-000071030000}"/>
    <cellStyle name="Comma [0] 7 9 2" xfId="884" xr:uid="{00000000-0005-0000-0000-000072030000}"/>
    <cellStyle name="Comma [0] 8" xfId="885" xr:uid="{00000000-0005-0000-0000-000073030000}"/>
    <cellStyle name="Comma [0] 8 2" xfId="886" xr:uid="{00000000-0005-0000-0000-000074030000}"/>
    <cellStyle name="Comma [0] 8 2 2" xfId="887" xr:uid="{00000000-0005-0000-0000-000075030000}"/>
    <cellStyle name="Comma [0] 8 2 3" xfId="888" xr:uid="{00000000-0005-0000-0000-000076030000}"/>
    <cellStyle name="Comma [0] 8 3" xfId="889" xr:uid="{00000000-0005-0000-0000-000077030000}"/>
    <cellStyle name="Comma [0] 8 4" xfId="890" xr:uid="{00000000-0005-0000-0000-000078030000}"/>
    <cellStyle name="Comma [0] 9" xfId="891" xr:uid="{00000000-0005-0000-0000-000079030000}"/>
    <cellStyle name="Comma [0] 9 2" xfId="892" xr:uid="{00000000-0005-0000-0000-00007A030000}"/>
    <cellStyle name="Comma [0] 9 3" xfId="893" xr:uid="{00000000-0005-0000-0000-00007B030000}"/>
    <cellStyle name="Comma [0] 9 3 2" xfId="894" xr:uid="{00000000-0005-0000-0000-00007C030000}"/>
    <cellStyle name="Comma [0] 9 3 3" xfId="895" xr:uid="{00000000-0005-0000-0000-00007D030000}"/>
    <cellStyle name="Comma [0] 9 4" xfId="896" xr:uid="{00000000-0005-0000-0000-00007E030000}"/>
    <cellStyle name="Comma [0] 9 5" xfId="897" xr:uid="{00000000-0005-0000-0000-00007F030000}"/>
    <cellStyle name="Comma [0] 9 6" xfId="898" xr:uid="{00000000-0005-0000-0000-000080030000}"/>
    <cellStyle name="Comma [0] 9 7" xfId="899" xr:uid="{00000000-0005-0000-0000-000081030000}"/>
    <cellStyle name="Comma [0] 9_00a. MASTER ANALIS SNI NGAWI" xfId="900" xr:uid="{00000000-0005-0000-0000-000082030000}"/>
    <cellStyle name="Comma [3]" xfId="901" xr:uid="{00000000-0005-0000-0000-000083030000}"/>
    <cellStyle name="Comma 10" xfId="902" xr:uid="{00000000-0005-0000-0000-000084030000}"/>
    <cellStyle name="Comma 10 10" xfId="903" xr:uid="{00000000-0005-0000-0000-000085030000}"/>
    <cellStyle name="Comma 10 10 2" xfId="904" xr:uid="{00000000-0005-0000-0000-000086030000}"/>
    <cellStyle name="Comma 10 11" xfId="905" xr:uid="{00000000-0005-0000-0000-000087030000}"/>
    <cellStyle name="Comma 10 2" xfId="906" xr:uid="{00000000-0005-0000-0000-000088030000}"/>
    <cellStyle name="Comma 10 2 2" xfId="907" xr:uid="{00000000-0005-0000-0000-000089030000}"/>
    <cellStyle name="Comma 10 2 2 2" xfId="908" xr:uid="{00000000-0005-0000-0000-00008A030000}"/>
    <cellStyle name="Comma 10 2 2 3" xfId="909" xr:uid="{00000000-0005-0000-0000-00008B030000}"/>
    <cellStyle name="Comma 10 2 3" xfId="910" xr:uid="{00000000-0005-0000-0000-00008C030000}"/>
    <cellStyle name="Comma 10 3" xfId="911" xr:uid="{00000000-0005-0000-0000-00008D030000}"/>
    <cellStyle name="Comma 10 3 2" xfId="912" xr:uid="{00000000-0005-0000-0000-00008E030000}"/>
    <cellStyle name="Comma 10 4" xfId="913" xr:uid="{00000000-0005-0000-0000-00008F030000}"/>
    <cellStyle name="Comma 10 4 2" xfId="914" xr:uid="{00000000-0005-0000-0000-000090030000}"/>
    <cellStyle name="Comma 10 5" xfId="915" xr:uid="{00000000-0005-0000-0000-000091030000}"/>
    <cellStyle name="Comma 10 5 2" xfId="916" xr:uid="{00000000-0005-0000-0000-000092030000}"/>
    <cellStyle name="Comma 10 6" xfId="917" xr:uid="{00000000-0005-0000-0000-000093030000}"/>
    <cellStyle name="Comma 10 6 2" xfId="918" xr:uid="{00000000-0005-0000-0000-000094030000}"/>
    <cellStyle name="Comma 10 7" xfId="919" xr:uid="{00000000-0005-0000-0000-000095030000}"/>
    <cellStyle name="Comma 10 7 2" xfId="920" xr:uid="{00000000-0005-0000-0000-000096030000}"/>
    <cellStyle name="Comma 10 8" xfId="921" xr:uid="{00000000-0005-0000-0000-000097030000}"/>
    <cellStyle name="Comma 10 8 2" xfId="922" xr:uid="{00000000-0005-0000-0000-000098030000}"/>
    <cellStyle name="Comma 10 9" xfId="923" xr:uid="{00000000-0005-0000-0000-000099030000}"/>
    <cellStyle name="Comma 10 9 2" xfId="924" xr:uid="{00000000-0005-0000-0000-00009A030000}"/>
    <cellStyle name="Comma 11" xfId="925" xr:uid="{00000000-0005-0000-0000-00009B030000}"/>
    <cellStyle name="Comma 11 10" xfId="926" xr:uid="{00000000-0005-0000-0000-00009C030000}"/>
    <cellStyle name="Comma 11 10 2" xfId="927" xr:uid="{00000000-0005-0000-0000-00009D030000}"/>
    <cellStyle name="Comma 11 11" xfId="928" xr:uid="{00000000-0005-0000-0000-00009E030000}"/>
    <cellStyle name="Comma 11 12" xfId="929" xr:uid="{00000000-0005-0000-0000-00009F030000}"/>
    <cellStyle name="Comma 11 2" xfId="930" xr:uid="{00000000-0005-0000-0000-0000A0030000}"/>
    <cellStyle name="Comma 11 2 2" xfId="931" xr:uid="{00000000-0005-0000-0000-0000A1030000}"/>
    <cellStyle name="Comma 11 3" xfId="932" xr:uid="{00000000-0005-0000-0000-0000A2030000}"/>
    <cellStyle name="Comma 11 3 2" xfId="933" xr:uid="{00000000-0005-0000-0000-0000A3030000}"/>
    <cellStyle name="Comma 11 4" xfId="934" xr:uid="{00000000-0005-0000-0000-0000A4030000}"/>
    <cellStyle name="Comma 11 4 2" xfId="935" xr:uid="{00000000-0005-0000-0000-0000A5030000}"/>
    <cellStyle name="Comma 11 5" xfId="936" xr:uid="{00000000-0005-0000-0000-0000A6030000}"/>
    <cellStyle name="Comma 11 5 2" xfId="937" xr:uid="{00000000-0005-0000-0000-0000A7030000}"/>
    <cellStyle name="Comma 11 6" xfId="938" xr:uid="{00000000-0005-0000-0000-0000A8030000}"/>
    <cellStyle name="Comma 11 6 2" xfId="939" xr:uid="{00000000-0005-0000-0000-0000A9030000}"/>
    <cellStyle name="Comma 11 7" xfId="940" xr:uid="{00000000-0005-0000-0000-0000AA030000}"/>
    <cellStyle name="Comma 11 7 2" xfId="941" xr:uid="{00000000-0005-0000-0000-0000AB030000}"/>
    <cellStyle name="Comma 11 8" xfId="942" xr:uid="{00000000-0005-0000-0000-0000AC030000}"/>
    <cellStyle name="Comma 11 8 2" xfId="943" xr:uid="{00000000-0005-0000-0000-0000AD030000}"/>
    <cellStyle name="Comma 11 9" xfId="944" xr:uid="{00000000-0005-0000-0000-0000AE030000}"/>
    <cellStyle name="Comma 11 9 2" xfId="945" xr:uid="{00000000-0005-0000-0000-0000AF030000}"/>
    <cellStyle name="Comma 12" xfId="946" xr:uid="{00000000-0005-0000-0000-0000B0030000}"/>
    <cellStyle name="Comma 12 10" xfId="947" xr:uid="{00000000-0005-0000-0000-0000B1030000}"/>
    <cellStyle name="Comma 12 10 2" xfId="948" xr:uid="{00000000-0005-0000-0000-0000B2030000}"/>
    <cellStyle name="Comma 12 11" xfId="949" xr:uid="{00000000-0005-0000-0000-0000B3030000}"/>
    <cellStyle name="Comma 12 2" xfId="950" xr:uid="{00000000-0005-0000-0000-0000B4030000}"/>
    <cellStyle name="Comma 12 2 2" xfId="951" xr:uid="{00000000-0005-0000-0000-0000B5030000}"/>
    <cellStyle name="Comma 12 2_RAB Plumbing Terminal jombor" xfId="952" xr:uid="{00000000-0005-0000-0000-0000B6030000}"/>
    <cellStyle name="Comma 12 3" xfId="953" xr:uid="{00000000-0005-0000-0000-0000B7030000}"/>
    <cellStyle name="Comma 12 3 2" xfId="954" xr:uid="{00000000-0005-0000-0000-0000B8030000}"/>
    <cellStyle name="Comma 12 4" xfId="955" xr:uid="{00000000-0005-0000-0000-0000B9030000}"/>
    <cellStyle name="Comma 12 4 2" xfId="956" xr:uid="{00000000-0005-0000-0000-0000BA030000}"/>
    <cellStyle name="Comma 12 5" xfId="957" xr:uid="{00000000-0005-0000-0000-0000BB030000}"/>
    <cellStyle name="Comma 12 5 2" xfId="958" xr:uid="{00000000-0005-0000-0000-0000BC030000}"/>
    <cellStyle name="Comma 12 6" xfId="959" xr:uid="{00000000-0005-0000-0000-0000BD030000}"/>
    <cellStyle name="Comma 12 6 2" xfId="960" xr:uid="{00000000-0005-0000-0000-0000BE030000}"/>
    <cellStyle name="Comma 12 7" xfId="961" xr:uid="{00000000-0005-0000-0000-0000BF030000}"/>
    <cellStyle name="Comma 12 7 2" xfId="962" xr:uid="{00000000-0005-0000-0000-0000C0030000}"/>
    <cellStyle name="Comma 12 8" xfId="963" xr:uid="{00000000-0005-0000-0000-0000C1030000}"/>
    <cellStyle name="Comma 12 8 2" xfId="964" xr:uid="{00000000-0005-0000-0000-0000C2030000}"/>
    <cellStyle name="Comma 12 9" xfId="965" xr:uid="{00000000-0005-0000-0000-0000C3030000}"/>
    <cellStyle name="Comma 12 9 2" xfId="966" xr:uid="{00000000-0005-0000-0000-0000C4030000}"/>
    <cellStyle name="Comma 12_RAB Plumbing Terminal jombor" xfId="967" xr:uid="{00000000-0005-0000-0000-0000C5030000}"/>
    <cellStyle name="Comma 13" xfId="968" xr:uid="{00000000-0005-0000-0000-0000C6030000}"/>
    <cellStyle name="Comma 13 10" xfId="969" xr:uid="{00000000-0005-0000-0000-0000C7030000}"/>
    <cellStyle name="Comma 13 10 2" xfId="970" xr:uid="{00000000-0005-0000-0000-0000C8030000}"/>
    <cellStyle name="Comma 13 11" xfId="971" xr:uid="{00000000-0005-0000-0000-0000C9030000}"/>
    <cellStyle name="Comma 13 2" xfId="972" xr:uid="{00000000-0005-0000-0000-0000CA030000}"/>
    <cellStyle name="Comma 13 2 2" xfId="973" xr:uid="{00000000-0005-0000-0000-0000CB030000}"/>
    <cellStyle name="Comma 13 3" xfId="974" xr:uid="{00000000-0005-0000-0000-0000CC030000}"/>
    <cellStyle name="Comma 13 3 2" xfId="975" xr:uid="{00000000-0005-0000-0000-0000CD030000}"/>
    <cellStyle name="Comma 13 4" xfId="976" xr:uid="{00000000-0005-0000-0000-0000CE030000}"/>
    <cellStyle name="Comma 13 4 2" xfId="977" xr:uid="{00000000-0005-0000-0000-0000CF030000}"/>
    <cellStyle name="Comma 13 5" xfId="978" xr:uid="{00000000-0005-0000-0000-0000D0030000}"/>
    <cellStyle name="Comma 13 5 2" xfId="979" xr:uid="{00000000-0005-0000-0000-0000D1030000}"/>
    <cellStyle name="Comma 13 6" xfId="980" xr:uid="{00000000-0005-0000-0000-0000D2030000}"/>
    <cellStyle name="Comma 13 6 2" xfId="981" xr:uid="{00000000-0005-0000-0000-0000D3030000}"/>
    <cellStyle name="Comma 13 7" xfId="982" xr:uid="{00000000-0005-0000-0000-0000D4030000}"/>
    <cellStyle name="Comma 13 7 2" xfId="983" xr:uid="{00000000-0005-0000-0000-0000D5030000}"/>
    <cellStyle name="Comma 13 8" xfId="984" xr:uid="{00000000-0005-0000-0000-0000D6030000}"/>
    <cellStyle name="Comma 13 8 2" xfId="985" xr:uid="{00000000-0005-0000-0000-0000D7030000}"/>
    <cellStyle name="Comma 13 9" xfId="986" xr:uid="{00000000-0005-0000-0000-0000D8030000}"/>
    <cellStyle name="Comma 13 9 2" xfId="987" xr:uid="{00000000-0005-0000-0000-0000D9030000}"/>
    <cellStyle name="Comma 13_RAB Plumbing Terminal jombor" xfId="988" xr:uid="{00000000-0005-0000-0000-0000DA030000}"/>
    <cellStyle name="Comma 14" xfId="989" xr:uid="{00000000-0005-0000-0000-0000DB030000}"/>
    <cellStyle name="Comma 14 10" xfId="990" xr:uid="{00000000-0005-0000-0000-0000DC030000}"/>
    <cellStyle name="Comma 14 10 2" xfId="991" xr:uid="{00000000-0005-0000-0000-0000DD030000}"/>
    <cellStyle name="Comma 14 11" xfId="992" xr:uid="{00000000-0005-0000-0000-0000DE030000}"/>
    <cellStyle name="Comma 14 2" xfId="993" xr:uid="{00000000-0005-0000-0000-0000DF030000}"/>
    <cellStyle name="Comma 14 2 2" xfId="994" xr:uid="{00000000-0005-0000-0000-0000E0030000}"/>
    <cellStyle name="Comma 14 3" xfId="995" xr:uid="{00000000-0005-0000-0000-0000E1030000}"/>
    <cellStyle name="Comma 14 3 2" xfId="996" xr:uid="{00000000-0005-0000-0000-0000E2030000}"/>
    <cellStyle name="Comma 14 4" xfId="997" xr:uid="{00000000-0005-0000-0000-0000E3030000}"/>
    <cellStyle name="Comma 14 4 2" xfId="998" xr:uid="{00000000-0005-0000-0000-0000E4030000}"/>
    <cellStyle name="Comma 14 5" xfId="999" xr:uid="{00000000-0005-0000-0000-0000E5030000}"/>
    <cellStyle name="Comma 14 5 2" xfId="1000" xr:uid="{00000000-0005-0000-0000-0000E6030000}"/>
    <cellStyle name="Comma 14 6" xfId="1001" xr:uid="{00000000-0005-0000-0000-0000E7030000}"/>
    <cellStyle name="Comma 14 6 2" xfId="1002" xr:uid="{00000000-0005-0000-0000-0000E8030000}"/>
    <cellStyle name="Comma 14 7" xfId="1003" xr:uid="{00000000-0005-0000-0000-0000E9030000}"/>
    <cellStyle name="Comma 14 7 2" xfId="1004" xr:uid="{00000000-0005-0000-0000-0000EA030000}"/>
    <cellStyle name="Comma 14 8" xfId="1005" xr:uid="{00000000-0005-0000-0000-0000EB030000}"/>
    <cellStyle name="Comma 14 8 2" xfId="1006" xr:uid="{00000000-0005-0000-0000-0000EC030000}"/>
    <cellStyle name="Comma 14 9" xfId="1007" xr:uid="{00000000-0005-0000-0000-0000ED030000}"/>
    <cellStyle name="Comma 14 9 2" xfId="1008" xr:uid="{00000000-0005-0000-0000-0000EE030000}"/>
    <cellStyle name="Comma 15" xfId="1009" xr:uid="{00000000-0005-0000-0000-0000EF030000}"/>
    <cellStyle name="Comma 15 2" xfId="1010" xr:uid="{00000000-0005-0000-0000-0000F0030000}"/>
    <cellStyle name="Comma 16" xfId="1011" xr:uid="{00000000-0005-0000-0000-0000F1030000}"/>
    <cellStyle name="Comma 16 2" xfId="1012" xr:uid="{00000000-0005-0000-0000-0000F2030000}"/>
    <cellStyle name="Comma 17" xfId="1013" xr:uid="{00000000-0005-0000-0000-0000F3030000}"/>
    <cellStyle name="Comma 17 2" xfId="1014" xr:uid="{00000000-0005-0000-0000-0000F4030000}"/>
    <cellStyle name="Comma 17 3" xfId="1015" xr:uid="{00000000-0005-0000-0000-0000F5030000}"/>
    <cellStyle name="Comma 18" xfId="1016" xr:uid="{00000000-0005-0000-0000-0000F6030000}"/>
    <cellStyle name="Comma 18 2" xfId="1017" xr:uid="{00000000-0005-0000-0000-0000F7030000}"/>
    <cellStyle name="Comma 19" xfId="1018" xr:uid="{00000000-0005-0000-0000-0000F8030000}"/>
    <cellStyle name="Comma 19 2" xfId="1019" xr:uid="{00000000-0005-0000-0000-0000F9030000}"/>
    <cellStyle name="Comma 2" xfId="3" xr:uid="{00000000-0005-0000-0000-0000FA030000}"/>
    <cellStyle name="Comma 2 10" xfId="1020" xr:uid="{00000000-0005-0000-0000-0000FB030000}"/>
    <cellStyle name="Comma 2 2" xfId="1021" xr:uid="{00000000-0005-0000-0000-0000FC030000}"/>
    <cellStyle name="Comma 2 2 2" xfId="1022" xr:uid="{00000000-0005-0000-0000-0000FD030000}"/>
    <cellStyle name="Comma 2 2 2 2" xfId="1023" xr:uid="{00000000-0005-0000-0000-0000FE030000}"/>
    <cellStyle name="Comma 2 2 2 3" xfId="1024" xr:uid="{00000000-0005-0000-0000-0000FF030000}"/>
    <cellStyle name="Comma 2 2 3" xfId="1025" xr:uid="{00000000-0005-0000-0000-000000040000}"/>
    <cellStyle name="Comma 2 2 4" xfId="1026" xr:uid="{00000000-0005-0000-0000-000001040000}"/>
    <cellStyle name="Comma 2 2 5" xfId="1027" xr:uid="{00000000-0005-0000-0000-000002040000}"/>
    <cellStyle name="Comma 2 2 6" xfId="1028" xr:uid="{00000000-0005-0000-0000-000003040000}"/>
    <cellStyle name="Comma 2 2_analisa" xfId="1029" xr:uid="{00000000-0005-0000-0000-000004040000}"/>
    <cellStyle name="Comma 2 3" xfId="1030" xr:uid="{00000000-0005-0000-0000-000005040000}"/>
    <cellStyle name="Comma 2 3 2" xfId="1031" xr:uid="{00000000-0005-0000-0000-000006040000}"/>
    <cellStyle name="Comma 2 4" xfId="1032" xr:uid="{00000000-0005-0000-0000-000007040000}"/>
    <cellStyle name="Comma 2 4 2" xfId="1033" xr:uid="{00000000-0005-0000-0000-000008040000}"/>
    <cellStyle name="Comma 2 4 2 2" xfId="1034" xr:uid="{00000000-0005-0000-0000-000009040000}"/>
    <cellStyle name="Comma 2 4 3" xfId="1035" xr:uid="{00000000-0005-0000-0000-00000A040000}"/>
    <cellStyle name="Comma 2 5" xfId="1036" xr:uid="{00000000-0005-0000-0000-00000B040000}"/>
    <cellStyle name="Comma 2 5 2" xfId="1037" xr:uid="{00000000-0005-0000-0000-00000C040000}"/>
    <cellStyle name="Comma 2 6" xfId="1038" xr:uid="{00000000-0005-0000-0000-00000D040000}"/>
    <cellStyle name="Comma 2 6 2" xfId="1039" xr:uid="{00000000-0005-0000-0000-00000E040000}"/>
    <cellStyle name="Comma 2 7" xfId="1040" xr:uid="{00000000-0005-0000-0000-00000F040000}"/>
    <cellStyle name="Comma 2 7 2" xfId="1041" xr:uid="{00000000-0005-0000-0000-000010040000}"/>
    <cellStyle name="Comma 2 8" xfId="1042" xr:uid="{00000000-0005-0000-0000-000011040000}"/>
    <cellStyle name="Comma 2 9" xfId="1043" xr:uid="{00000000-0005-0000-0000-000012040000}"/>
    <cellStyle name="Comma 2_00. ANALISA SNI VER. PU KDR. 29 NOV 07 OE" xfId="1044" xr:uid="{00000000-0005-0000-0000-000013040000}"/>
    <cellStyle name="Comma 20" xfId="1045" xr:uid="{00000000-0005-0000-0000-000014040000}"/>
    <cellStyle name="Comma 20 2" xfId="1046" xr:uid="{00000000-0005-0000-0000-000015040000}"/>
    <cellStyle name="Comma 21" xfId="1047" xr:uid="{00000000-0005-0000-0000-000016040000}"/>
    <cellStyle name="Comma 21 2" xfId="1048" xr:uid="{00000000-0005-0000-0000-000017040000}"/>
    <cellStyle name="Comma 22" xfId="1049" xr:uid="{00000000-0005-0000-0000-000018040000}"/>
    <cellStyle name="Comma 22 2" xfId="1050" xr:uid="{00000000-0005-0000-0000-000019040000}"/>
    <cellStyle name="Comma 22 2 2" xfId="1051" xr:uid="{00000000-0005-0000-0000-00001A040000}"/>
    <cellStyle name="Comma 22 3" xfId="1052" xr:uid="{00000000-0005-0000-0000-00001B040000}"/>
    <cellStyle name="Comma 23" xfId="1053" xr:uid="{00000000-0005-0000-0000-00001C040000}"/>
    <cellStyle name="Comma 23 2" xfId="1054" xr:uid="{00000000-0005-0000-0000-00001D040000}"/>
    <cellStyle name="Comma 24" xfId="1055" xr:uid="{00000000-0005-0000-0000-00001E040000}"/>
    <cellStyle name="Comma 24 2" xfId="1056" xr:uid="{00000000-0005-0000-0000-00001F040000}"/>
    <cellStyle name="Comma 25" xfId="1057" xr:uid="{00000000-0005-0000-0000-000020040000}"/>
    <cellStyle name="Comma 25 2" xfId="1058" xr:uid="{00000000-0005-0000-0000-000021040000}"/>
    <cellStyle name="Comma 26" xfId="1059" xr:uid="{00000000-0005-0000-0000-000022040000}"/>
    <cellStyle name="Comma 26 2" xfId="1060" xr:uid="{00000000-0005-0000-0000-000023040000}"/>
    <cellStyle name="Comma 26 3" xfId="1061" xr:uid="{00000000-0005-0000-0000-000024040000}"/>
    <cellStyle name="Comma 27" xfId="1062" xr:uid="{00000000-0005-0000-0000-000025040000}"/>
    <cellStyle name="Comma 27 2" xfId="1063" xr:uid="{00000000-0005-0000-0000-000026040000}"/>
    <cellStyle name="Comma 28" xfId="1064" xr:uid="{00000000-0005-0000-0000-000027040000}"/>
    <cellStyle name="Comma 29" xfId="1065" xr:uid="{00000000-0005-0000-0000-000028040000}"/>
    <cellStyle name="Comma 29 2" xfId="1066" xr:uid="{00000000-0005-0000-0000-000029040000}"/>
    <cellStyle name="Comma 29 3" xfId="1067" xr:uid="{00000000-0005-0000-0000-00002A040000}"/>
    <cellStyle name="Comma 3" xfId="1068" xr:uid="{00000000-0005-0000-0000-00002B040000}"/>
    <cellStyle name="Comma 3 2" xfId="1069" xr:uid="{00000000-0005-0000-0000-00002C040000}"/>
    <cellStyle name="Comma 3 2 2" xfId="1070" xr:uid="{00000000-0005-0000-0000-00002D040000}"/>
    <cellStyle name="Comma 3 2 3" xfId="1071" xr:uid="{00000000-0005-0000-0000-00002E040000}"/>
    <cellStyle name="Comma 3 3" xfId="1072" xr:uid="{00000000-0005-0000-0000-00002F040000}"/>
    <cellStyle name="Comma 3 3 2" xfId="1073" xr:uid="{00000000-0005-0000-0000-000030040000}"/>
    <cellStyle name="Comma 3 4" xfId="1074" xr:uid="{00000000-0005-0000-0000-000031040000}"/>
    <cellStyle name="Comma 3 4 2" xfId="1075" xr:uid="{00000000-0005-0000-0000-000032040000}"/>
    <cellStyle name="Comma 3 5" xfId="1076" xr:uid="{00000000-0005-0000-0000-000033040000}"/>
    <cellStyle name="Comma 3 5 2" xfId="1077" xr:uid="{00000000-0005-0000-0000-000034040000}"/>
    <cellStyle name="Comma 3 6" xfId="1078" xr:uid="{00000000-0005-0000-0000-000035040000}"/>
    <cellStyle name="Comma 3 6 2" xfId="1079" xr:uid="{00000000-0005-0000-0000-000036040000}"/>
    <cellStyle name="Comma 3 7" xfId="1080" xr:uid="{00000000-0005-0000-0000-000037040000}"/>
    <cellStyle name="Comma 3 8" xfId="1081" xr:uid="{00000000-0005-0000-0000-000038040000}"/>
    <cellStyle name="Comma 3 8 2" xfId="1082" xr:uid="{00000000-0005-0000-0000-000039040000}"/>
    <cellStyle name="Comma 3_Frz EE. RAB KEL JUWETKENONGO" xfId="1083" xr:uid="{00000000-0005-0000-0000-00003A040000}"/>
    <cellStyle name="Comma 30" xfId="1084" xr:uid="{00000000-0005-0000-0000-00003B040000}"/>
    <cellStyle name="Comma 30 2" xfId="1085" xr:uid="{00000000-0005-0000-0000-00003C040000}"/>
    <cellStyle name="Comma 31" xfId="1086" xr:uid="{00000000-0005-0000-0000-00003D040000}"/>
    <cellStyle name="Comma 313" xfId="1087" xr:uid="{00000000-0005-0000-0000-00003E040000}"/>
    <cellStyle name="Comma 32" xfId="1088" xr:uid="{00000000-0005-0000-0000-00003F040000}"/>
    <cellStyle name="Comma 33" xfId="1089" xr:uid="{00000000-0005-0000-0000-000040040000}"/>
    <cellStyle name="Comma 34" xfId="1090" xr:uid="{00000000-0005-0000-0000-000041040000}"/>
    <cellStyle name="Comma 35" xfId="516" xr:uid="{00000000-0005-0000-0000-000042040000}"/>
    <cellStyle name="Comma 36" xfId="2020" xr:uid="{00000000-0005-0000-0000-000043040000}"/>
    <cellStyle name="Comma 37" xfId="2023" xr:uid="{00000000-0005-0000-0000-000044040000}"/>
    <cellStyle name="Comma 4" xfId="1091" xr:uid="{00000000-0005-0000-0000-000045040000}"/>
    <cellStyle name="Comma 4 2" xfId="1092" xr:uid="{00000000-0005-0000-0000-000046040000}"/>
    <cellStyle name="Comma 4 2 2" xfId="1093" xr:uid="{00000000-0005-0000-0000-000047040000}"/>
    <cellStyle name="Comma 4 3" xfId="1094" xr:uid="{00000000-0005-0000-0000-000048040000}"/>
    <cellStyle name="Comma 4 3 2" xfId="1095" xr:uid="{00000000-0005-0000-0000-000049040000}"/>
    <cellStyle name="Comma 4 3 2 2" xfId="1096" xr:uid="{00000000-0005-0000-0000-00004A040000}"/>
    <cellStyle name="Comma 4 3 3" xfId="1097" xr:uid="{00000000-0005-0000-0000-00004B040000}"/>
    <cellStyle name="Comma 4 3 4" xfId="1098" xr:uid="{00000000-0005-0000-0000-00004C040000}"/>
    <cellStyle name="Comma 4 4" xfId="1099" xr:uid="{00000000-0005-0000-0000-00004D040000}"/>
    <cellStyle name="Comma 4 4 2" xfId="1100" xr:uid="{00000000-0005-0000-0000-00004E040000}"/>
    <cellStyle name="Comma 4 5" xfId="1101" xr:uid="{00000000-0005-0000-0000-00004F040000}"/>
    <cellStyle name="Comma 4 5 2" xfId="1102" xr:uid="{00000000-0005-0000-0000-000050040000}"/>
    <cellStyle name="Comma 4 6" xfId="1103" xr:uid="{00000000-0005-0000-0000-000051040000}"/>
    <cellStyle name="Comma 4 6 2" xfId="1104" xr:uid="{00000000-0005-0000-0000-000052040000}"/>
    <cellStyle name="Comma 4 7" xfId="1105" xr:uid="{00000000-0005-0000-0000-000053040000}"/>
    <cellStyle name="Comma 4_Frz EE. RAB KEL JUWETKENONGO" xfId="1106" xr:uid="{00000000-0005-0000-0000-000054040000}"/>
    <cellStyle name="Comma 5" xfId="1107" xr:uid="{00000000-0005-0000-0000-000055040000}"/>
    <cellStyle name="Comma 5 10" xfId="1108" xr:uid="{00000000-0005-0000-0000-000056040000}"/>
    <cellStyle name="Comma 5 11" xfId="1109" xr:uid="{00000000-0005-0000-0000-000057040000}"/>
    <cellStyle name="Comma 5 12" xfId="1110" xr:uid="{00000000-0005-0000-0000-000058040000}"/>
    <cellStyle name="Comma 5 13" xfId="1111" xr:uid="{00000000-0005-0000-0000-000059040000}"/>
    <cellStyle name="Comma 5 13 2" xfId="1112" xr:uid="{00000000-0005-0000-0000-00005A040000}"/>
    <cellStyle name="Comma 5 14" xfId="1113" xr:uid="{00000000-0005-0000-0000-00005B040000}"/>
    <cellStyle name="Comma 5 14 2" xfId="1114" xr:uid="{00000000-0005-0000-0000-00005C040000}"/>
    <cellStyle name="Comma 5 14 3" xfId="1115" xr:uid="{00000000-0005-0000-0000-00005D040000}"/>
    <cellStyle name="Comma 5 15" xfId="1116" xr:uid="{00000000-0005-0000-0000-00005E040000}"/>
    <cellStyle name="Comma 5 15 2" xfId="1117" xr:uid="{00000000-0005-0000-0000-00005F040000}"/>
    <cellStyle name="Comma 5 16" xfId="1118" xr:uid="{00000000-0005-0000-0000-000060040000}"/>
    <cellStyle name="Comma 5 17" xfId="1119" xr:uid="{00000000-0005-0000-0000-000061040000}"/>
    <cellStyle name="Comma 5 2" xfId="1120" xr:uid="{00000000-0005-0000-0000-000062040000}"/>
    <cellStyle name="Comma 5 2 2" xfId="1121" xr:uid="{00000000-0005-0000-0000-000063040000}"/>
    <cellStyle name="Comma 5 2 2 2" xfId="1122" xr:uid="{00000000-0005-0000-0000-000064040000}"/>
    <cellStyle name="Comma 5 2 3" xfId="1123" xr:uid="{00000000-0005-0000-0000-000065040000}"/>
    <cellStyle name="Comma 5 2 3 2" xfId="1124" xr:uid="{00000000-0005-0000-0000-000066040000}"/>
    <cellStyle name="Comma 5 2 3 2 2" xfId="1125" xr:uid="{00000000-0005-0000-0000-000067040000}"/>
    <cellStyle name="Comma 5 3" xfId="1126" xr:uid="{00000000-0005-0000-0000-000068040000}"/>
    <cellStyle name="Comma 5 3 2" xfId="1127" xr:uid="{00000000-0005-0000-0000-000069040000}"/>
    <cellStyle name="Comma 5 4" xfId="1128" xr:uid="{00000000-0005-0000-0000-00006A040000}"/>
    <cellStyle name="Comma 5 4 2" xfId="1129" xr:uid="{00000000-0005-0000-0000-00006B040000}"/>
    <cellStyle name="Comma 5 5" xfId="1130" xr:uid="{00000000-0005-0000-0000-00006C040000}"/>
    <cellStyle name="Comma 5 5 2" xfId="1131" xr:uid="{00000000-0005-0000-0000-00006D040000}"/>
    <cellStyle name="Comma 5 6" xfId="1132" xr:uid="{00000000-0005-0000-0000-00006E040000}"/>
    <cellStyle name="Comma 5 6 2" xfId="1133" xr:uid="{00000000-0005-0000-0000-00006F040000}"/>
    <cellStyle name="Comma 5 7" xfId="1134" xr:uid="{00000000-0005-0000-0000-000070040000}"/>
    <cellStyle name="Comma 5 7 2" xfId="1135" xr:uid="{00000000-0005-0000-0000-000071040000}"/>
    <cellStyle name="Comma 5 8" xfId="1136" xr:uid="{00000000-0005-0000-0000-000072040000}"/>
    <cellStyle name="Comma 5 9" xfId="1137" xr:uid="{00000000-0005-0000-0000-000073040000}"/>
    <cellStyle name="Comma 5_1-PAGU_PKK KREMBUNG" xfId="1138" xr:uid="{00000000-0005-0000-0000-000074040000}"/>
    <cellStyle name="Comma 6" xfId="1139" xr:uid="{00000000-0005-0000-0000-000075040000}"/>
    <cellStyle name="Comma 6 2" xfId="1140" xr:uid="{00000000-0005-0000-0000-000076040000}"/>
    <cellStyle name="Comma 6 2 2" xfId="1141" xr:uid="{00000000-0005-0000-0000-000077040000}"/>
    <cellStyle name="Comma 6 3" xfId="1142" xr:uid="{00000000-0005-0000-0000-000078040000}"/>
    <cellStyle name="Comma 6_Frz EE. RAB KEL JUWETKENONGO" xfId="1143" xr:uid="{00000000-0005-0000-0000-000079040000}"/>
    <cellStyle name="Comma 7" xfId="1144" xr:uid="{00000000-0005-0000-0000-00007A040000}"/>
    <cellStyle name="Comma 7 10" xfId="1145" xr:uid="{00000000-0005-0000-0000-00007B040000}"/>
    <cellStyle name="Comma 7 10 2" xfId="1146" xr:uid="{00000000-0005-0000-0000-00007C040000}"/>
    <cellStyle name="Comma 7 11" xfId="1147" xr:uid="{00000000-0005-0000-0000-00007D040000}"/>
    <cellStyle name="Comma 7 2" xfId="1148" xr:uid="{00000000-0005-0000-0000-00007E040000}"/>
    <cellStyle name="Comma 7 2 2" xfId="1149" xr:uid="{00000000-0005-0000-0000-00007F040000}"/>
    <cellStyle name="Comma 7 3" xfId="1150" xr:uid="{00000000-0005-0000-0000-000080040000}"/>
    <cellStyle name="Comma 7 3 2" xfId="1151" xr:uid="{00000000-0005-0000-0000-000081040000}"/>
    <cellStyle name="Comma 7 4" xfId="1152" xr:uid="{00000000-0005-0000-0000-000082040000}"/>
    <cellStyle name="Comma 7 4 2" xfId="1153" xr:uid="{00000000-0005-0000-0000-000083040000}"/>
    <cellStyle name="Comma 7 5" xfId="1154" xr:uid="{00000000-0005-0000-0000-000084040000}"/>
    <cellStyle name="Comma 7 5 2" xfId="1155" xr:uid="{00000000-0005-0000-0000-000085040000}"/>
    <cellStyle name="Comma 7 6" xfId="1156" xr:uid="{00000000-0005-0000-0000-000086040000}"/>
    <cellStyle name="Comma 7 6 2" xfId="1157" xr:uid="{00000000-0005-0000-0000-000087040000}"/>
    <cellStyle name="Comma 7 7" xfId="1158" xr:uid="{00000000-0005-0000-0000-000088040000}"/>
    <cellStyle name="Comma 7 7 2" xfId="1159" xr:uid="{00000000-0005-0000-0000-000089040000}"/>
    <cellStyle name="Comma 7 8" xfId="1160" xr:uid="{00000000-0005-0000-0000-00008A040000}"/>
    <cellStyle name="Comma 7 8 2" xfId="1161" xr:uid="{00000000-0005-0000-0000-00008B040000}"/>
    <cellStyle name="Comma 7 9" xfId="1162" xr:uid="{00000000-0005-0000-0000-00008C040000}"/>
    <cellStyle name="Comma 7 9 2" xfId="1163" xr:uid="{00000000-0005-0000-0000-00008D040000}"/>
    <cellStyle name="Comma 7_Frz EE. RAB KEL JUWETKENONGO" xfId="1164" xr:uid="{00000000-0005-0000-0000-00008E040000}"/>
    <cellStyle name="Comma 8" xfId="1165" xr:uid="{00000000-0005-0000-0000-00008F040000}"/>
    <cellStyle name="Comma 8 10" xfId="1166" xr:uid="{00000000-0005-0000-0000-000090040000}"/>
    <cellStyle name="Comma 8 10 2" xfId="1167" xr:uid="{00000000-0005-0000-0000-000091040000}"/>
    <cellStyle name="Comma 8 11" xfId="1168" xr:uid="{00000000-0005-0000-0000-000092040000}"/>
    <cellStyle name="Comma 8 2" xfId="1169" xr:uid="{00000000-0005-0000-0000-000093040000}"/>
    <cellStyle name="Comma 8 2 2" xfId="1170" xr:uid="{00000000-0005-0000-0000-000094040000}"/>
    <cellStyle name="Comma 8 3" xfId="1171" xr:uid="{00000000-0005-0000-0000-000095040000}"/>
    <cellStyle name="Comma 8 3 2" xfId="1172" xr:uid="{00000000-0005-0000-0000-000096040000}"/>
    <cellStyle name="Comma 8 3 2 2" xfId="1173" xr:uid="{00000000-0005-0000-0000-000097040000}"/>
    <cellStyle name="Comma 8 3 3" xfId="1174" xr:uid="{00000000-0005-0000-0000-000098040000}"/>
    <cellStyle name="Comma 8 4" xfId="1175" xr:uid="{00000000-0005-0000-0000-000099040000}"/>
    <cellStyle name="Comma 8 4 2" xfId="1176" xr:uid="{00000000-0005-0000-0000-00009A040000}"/>
    <cellStyle name="Comma 8 5" xfId="1177" xr:uid="{00000000-0005-0000-0000-00009B040000}"/>
    <cellStyle name="Comma 8 5 2" xfId="1178" xr:uid="{00000000-0005-0000-0000-00009C040000}"/>
    <cellStyle name="Comma 8 6" xfId="1179" xr:uid="{00000000-0005-0000-0000-00009D040000}"/>
    <cellStyle name="Comma 8 6 2" xfId="1180" xr:uid="{00000000-0005-0000-0000-00009E040000}"/>
    <cellStyle name="Comma 8 7" xfId="1181" xr:uid="{00000000-0005-0000-0000-00009F040000}"/>
    <cellStyle name="Comma 8 7 2" xfId="1182" xr:uid="{00000000-0005-0000-0000-0000A0040000}"/>
    <cellStyle name="Comma 8 8" xfId="1183" xr:uid="{00000000-0005-0000-0000-0000A1040000}"/>
    <cellStyle name="Comma 8 8 2" xfId="1184" xr:uid="{00000000-0005-0000-0000-0000A2040000}"/>
    <cellStyle name="Comma 8 9" xfId="1185" xr:uid="{00000000-0005-0000-0000-0000A3040000}"/>
    <cellStyle name="Comma 8 9 2" xfId="1186" xr:uid="{00000000-0005-0000-0000-0000A4040000}"/>
    <cellStyle name="Comma 8_Frz EE. RAB KEL JUWETKENONGO" xfId="1187" xr:uid="{00000000-0005-0000-0000-0000A5040000}"/>
    <cellStyle name="Comma 9" xfId="1188" xr:uid="{00000000-0005-0000-0000-0000A6040000}"/>
    <cellStyle name="Comma 9 10" xfId="1189" xr:uid="{00000000-0005-0000-0000-0000A7040000}"/>
    <cellStyle name="Comma 9 10 2" xfId="1190" xr:uid="{00000000-0005-0000-0000-0000A8040000}"/>
    <cellStyle name="Comma 9 11" xfId="1191" xr:uid="{00000000-0005-0000-0000-0000A9040000}"/>
    <cellStyle name="Comma 9 2" xfId="1192" xr:uid="{00000000-0005-0000-0000-0000AA040000}"/>
    <cellStyle name="Comma 9 2 2" xfId="1193" xr:uid="{00000000-0005-0000-0000-0000AB040000}"/>
    <cellStyle name="Comma 9 3" xfId="1194" xr:uid="{00000000-0005-0000-0000-0000AC040000}"/>
    <cellStyle name="Comma 9 3 2" xfId="1195" xr:uid="{00000000-0005-0000-0000-0000AD040000}"/>
    <cellStyle name="Comma 9 4" xfId="1196" xr:uid="{00000000-0005-0000-0000-0000AE040000}"/>
    <cellStyle name="Comma 9 4 2" xfId="1197" xr:uid="{00000000-0005-0000-0000-0000AF040000}"/>
    <cellStyle name="Comma 9 5" xfId="1198" xr:uid="{00000000-0005-0000-0000-0000B0040000}"/>
    <cellStyle name="Comma 9 5 2" xfId="1199" xr:uid="{00000000-0005-0000-0000-0000B1040000}"/>
    <cellStyle name="Comma 9 6" xfId="1200" xr:uid="{00000000-0005-0000-0000-0000B2040000}"/>
    <cellStyle name="Comma 9 6 2" xfId="1201" xr:uid="{00000000-0005-0000-0000-0000B3040000}"/>
    <cellStyle name="Comma 9 7" xfId="1202" xr:uid="{00000000-0005-0000-0000-0000B4040000}"/>
    <cellStyle name="Comma 9 7 2" xfId="1203" xr:uid="{00000000-0005-0000-0000-0000B5040000}"/>
    <cellStyle name="Comma 9 8" xfId="1204" xr:uid="{00000000-0005-0000-0000-0000B6040000}"/>
    <cellStyle name="Comma 9 8 2" xfId="1205" xr:uid="{00000000-0005-0000-0000-0000B7040000}"/>
    <cellStyle name="Comma 9 9" xfId="1206" xr:uid="{00000000-0005-0000-0000-0000B8040000}"/>
    <cellStyle name="Comma 9 9 2" xfId="1207" xr:uid="{00000000-0005-0000-0000-0000B9040000}"/>
    <cellStyle name="Comma0" xfId="1208" xr:uid="{00000000-0005-0000-0000-0000BA040000}"/>
    <cellStyle name="Comma0 2" xfId="1209" xr:uid="{00000000-0005-0000-0000-0000BB040000}"/>
    <cellStyle name="Copied" xfId="1210" xr:uid="{00000000-0005-0000-0000-0000BC040000}"/>
    <cellStyle name="Currency [0]" xfId="2025" builtinId="7"/>
    <cellStyle name="Currency [0] 2" xfId="1211" xr:uid="{00000000-0005-0000-0000-0000BE040000}"/>
    <cellStyle name="Currency [0] 2 2" xfId="1212" xr:uid="{00000000-0005-0000-0000-0000BF040000}"/>
    <cellStyle name="Currency 10" xfId="1213" xr:uid="{00000000-0005-0000-0000-0000C0040000}"/>
    <cellStyle name="Currency 11" xfId="1214" xr:uid="{00000000-0005-0000-0000-0000C1040000}"/>
    <cellStyle name="Currency 12" xfId="1215" xr:uid="{00000000-0005-0000-0000-0000C2040000}"/>
    <cellStyle name="Currency 13" xfId="1216" xr:uid="{00000000-0005-0000-0000-0000C3040000}"/>
    <cellStyle name="Currency 14" xfId="1217" xr:uid="{00000000-0005-0000-0000-0000C4040000}"/>
    <cellStyle name="Currency 15" xfId="1218" xr:uid="{00000000-0005-0000-0000-0000C5040000}"/>
    <cellStyle name="Currency 16" xfId="1219" xr:uid="{00000000-0005-0000-0000-0000C6040000}"/>
    <cellStyle name="Currency 2" xfId="1220" xr:uid="{00000000-0005-0000-0000-0000C7040000}"/>
    <cellStyle name="Currency 2 2" xfId="1221" xr:uid="{00000000-0005-0000-0000-0000C8040000}"/>
    <cellStyle name="Currency 2 3" xfId="1222" xr:uid="{00000000-0005-0000-0000-0000C9040000}"/>
    <cellStyle name="Currency 2 4" xfId="1223" xr:uid="{00000000-0005-0000-0000-0000CA040000}"/>
    <cellStyle name="Currency 2_Contoh Analisa" xfId="1224" xr:uid="{00000000-0005-0000-0000-0000CB040000}"/>
    <cellStyle name="Currency 3" xfId="1225" xr:uid="{00000000-0005-0000-0000-0000CC040000}"/>
    <cellStyle name="Currency 3 2" xfId="1226" xr:uid="{00000000-0005-0000-0000-0000CD040000}"/>
    <cellStyle name="Currency 3 3" xfId="1227" xr:uid="{00000000-0005-0000-0000-0000CE040000}"/>
    <cellStyle name="Currency 3_HSPK Surabaya 2010  ( oke ) 2" xfId="1228" xr:uid="{00000000-0005-0000-0000-0000CF040000}"/>
    <cellStyle name="Currency 4" xfId="1229" xr:uid="{00000000-0005-0000-0000-0000D0040000}"/>
    <cellStyle name="Currency 5" xfId="1230" xr:uid="{00000000-0005-0000-0000-0000D1040000}"/>
    <cellStyle name="Currency 5 2" xfId="1231" xr:uid="{00000000-0005-0000-0000-0000D2040000}"/>
    <cellStyle name="Currency 6" xfId="1232" xr:uid="{00000000-0005-0000-0000-0000D3040000}"/>
    <cellStyle name="Currency 7" xfId="1233" xr:uid="{00000000-0005-0000-0000-0000D4040000}"/>
    <cellStyle name="Currency 8" xfId="1234" xr:uid="{00000000-0005-0000-0000-0000D5040000}"/>
    <cellStyle name="Currency 9" xfId="1235" xr:uid="{00000000-0005-0000-0000-0000D6040000}"/>
    <cellStyle name="Currency0" xfId="1236" xr:uid="{00000000-0005-0000-0000-0000D7040000}"/>
    <cellStyle name="Currency0 2" xfId="1237" xr:uid="{00000000-0005-0000-0000-0000D8040000}"/>
    <cellStyle name="Custom" xfId="1238" xr:uid="{00000000-0005-0000-0000-0000D9040000}"/>
    <cellStyle name="Custom - Style8" xfId="1239" xr:uid="{00000000-0005-0000-0000-0000DA040000}"/>
    <cellStyle name="Data  " xfId="1240" xr:uid="{00000000-0005-0000-0000-0000DB040000}"/>
    <cellStyle name="Data   - Style2" xfId="1241" xr:uid="{00000000-0005-0000-0000-0000DC040000}"/>
    <cellStyle name="Date" xfId="1242" xr:uid="{00000000-0005-0000-0000-0000DD040000}"/>
    <cellStyle name="Date 2" xfId="1243" xr:uid="{00000000-0005-0000-0000-0000DE040000}"/>
    <cellStyle name="Description" xfId="1244" xr:uid="{00000000-0005-0000-0000-0000DF040000}"/>
    <cellStyle name="Emphasis 1" xfId="1245" xr:uid="{00000000-0005-0000-0000-0000E0040000}"/>
    <cellStyle name="Emphasis 2" xfId="1246" xr:uid="{00000000-0005-0000-0000-0000E1040000}"/>
    <cellStyle name="Emphasis 3" xfId="1247" xr:uid="{00000000-0005-0000-0000-0000E2040000}"/>
    <cellStyle name="Entered" xfId="1248" xr:uid="{00000000-0005-0000-0000-0000E3040000}"/>
    <cellStyle name="ep Setiawan" xfId="1249" xr:uid="{00000000-0005-0000-0000-0000E4040000}"/>
    <cellStyle name="Euro" xfId="1250" xr:uid="{00000000-0005-0000-0000-0000E5040000}"/>
    <cellStyle name="Explanatory Text 10" xfId="1251" xr:uid="{00000000-0005-0000-0000-0000E6040000}"/>
    <cellStyle name="Explanatory Text 11" xfId="1252" xr:uid="{00000000-0005-0000-0000-0000E7040000}"/>
    <cellStyle name="Explanatory Text 12" xfId="1253" xr:uid="{00000000-0005-0000-0000-0000E8040000}"/>
    <cellStyle name="Explanatory Text 13" xfId="1254" xr:uid="{00000000-0005-0000-0000-0000E9040000}"/>
    <cellStyle name="Explanatory Text 14" xfId="1255" xr:uid="{00000000-0005-0000-0000-0000EA040000}"/>
    <cellStyle name="Explanatory Text 2" xfId="1256" xr:uid="{00000000-0005-0000-0000-0000EB040000}"/>
    <cellStyle name="Explanatory Text 3" xfId="1257" xr:uid="{00000000-0005-0000-0000-0000EC040000}"/>
    <cellStyle name="Explanatory Text 4" xfId="1258" xr:uid="{00000000-0005-0000-0000-0000ED040000}"/>
    <cellStyle name="Explanatory Text 5" xfId="1259" xr:uid="{00000000-0005-0000-0000-0000EE040000}"/>
    <cellStyle name="Explanatory Text 6" xfId="1260" xr:uid="{00000000-0005-0000-0000-0000EF040000}"/>
    <cellStyle name="Explanatory Text 7" xfId="1261" xr:uid="{00000000-0005-0000-0000-0000F0040000}"/>
    <cellStyle name="Explanatory Text 8" xfId="1262" xr:uid="{00000000-0005-0000-0000-0000F1040000}"/>
    <cellStyle name="Explanatory Text 9" xfId="1263" xr:uid="{00000000-0005-0000-0000-0000F2040000}"/>
    <cellStyle name="ext-01a" xfId="1264" xr:uid="{00000000-0005-0000-0000-0000F3040000}"/>
    <cellStyle name="ƒ" xfId="1265" xr:uid="{00000000-0005-0000-0000-0000FD040000}"/>
    <cellStyle name="F2" xfId="1266" xr:uid="{00000000-0005-0000-0000-0000F4040000}"/>
    <cellStyle name="F3" xfId="1267" xr:uid="{00000000-0005-0000-0000-0000F5040000}"/>
    <cellStyle name="F4" xfId="1268" xr:uid="{00000000-0005-0000-0000-0000F6040000}"/>
    <cellStyle name="F5" xfId="1269" xr:uid="{00000000-0005-0000-0000-0000F7040000}"/>
    <cellStyle name="F6" xfId="1270" xr:uid="{00000000-0005-0000-0000-0000F8040000}"/>
    <cellStyle name="F7" xfId="1271" xr:uid="{00000000-0005-0000-0000-0000F9040000}"/>
    <cellStyle name="F8" xfId="1272" xr:uid="{00000000-0005-0000-0000-0000FA040000}"/>
    <cellStyle name="Fixed" xfId="1273" xr:uid="{00000000-0005-0000-0000-0000FB040000}"/>
    <cellStyle name="Fixed 2" xfId="1274" xr:uid="{00000000-0005-0000-0000-0000FC040000}"/>
    <cellStyle name="Good 10" xfId="1275" xr:uid="{00000000-0005-0000-0000-0000FE040000}"/>
    <cellStyle name="Good 11" xfId="1276" xr:uid="{00000000-0005-0000-0000-0000FF040000}"/>
    <cellStyle name="Good 12" xfId="1277" xr:uid="{00000000-0005-0000-0000-000000050000}"/>
    <cellStyle name="Good 13" xfId="1278" xr:uid="{00000000-0005-0000-0000-000001050000}"/>
    <cellStyle name="Good 14" xfId="1279" xr:uid="{00000000-0005-0000-0000-000002050000}"/>
    <cellStyle name="Good 2" xfId="1280" xr:uid="{00000000-0005-0000-0000-000003050000}"/>
    <cellStyle name="Good 3" xfId="1281" xr:uid="{00000000-0005-0000-0000-000004050000}"/>
    <cellStyle name="Good 4" xfId="1282" xr:uid="{00000000-0005-0000-0000-000005050000}"/>
    <cellStyle name="Good 5" xfId="1283" xr:uid="{00000000-0005-0000-0000-000006050000}"/>
    <cellStyle name="Good 6" xfId="1284" xr:uid="{00000000-0005-0000-0000-000007050000}"/>
    <cellStyle name="Good 7" xfId="1285" xr:uid="{00000000-0005-0000-0000-000008050000}"/>
    <cellStyle name="Good 8" xfId="1286" xr:uid="{00000000-0005-0000-0000-000009050000}"/>
    <cellStyle name="Good 9" xfId="1287" xr:uid="{00000000-0005-0000-0000-00000A050000}"/>
    <cellStyle name="Grey" xfId="1288" xr:uid="{00000000-0005-0000-0000-00000B050000}"/>
    <cellStyle name="Header1" xfId="1289" xr:uid="{00000000-0005-0000-0000-00000C050000}"/>
    <cellStyle name="Header2" xfId="1290" xr:uid="{00000000-0005-0000-0000-00000D050000}"/>
    <cellStyle name="Heading 1 10" xfId="1291" xr:uid="{00000000-0005-0000-0000-00000E050000}"/>
    <cellStyle name="Heading 1 11" xfId="1292" xr:uid="{00000000-0005-0000-0000-00000F050000}"/>
    <cellStyle name="Heading 1 12" xfId="1293" xr:uid="{00000000-0005-0000-0000-000010050000}"/>
    <cellStyle name="Heading 1 13" xfId="1294" xr:uid="{00000000-0005-0000-0000-000011050000}"/>
    <cellStyle name="Heading 1 14" xfId="1295" xr:uid="{00000000-0005-0000-0000-000012050000}"/>
    <cellStyle name="Heading 1 14 2" xfId="1296" xr:uid="{00000000-0005-0000-0000-000013050000}"/>
    <cellStyle name="Heading 1 15" xfId="1297" xr:uid="{00000000-0005-0000-0000-000014050000}"/>
    <cellStyle name="Heading 1 16" xfId="1298" xr:uid="{00000000-0005-0000-0000-000015050000}"/>
    <cellStyle name="Heading 1 17" xfId="1299" xr:uid="{00000000-0005-0000-0000-000016050000}"/>
    <cellStyle name="Heading 1 18" xfId="1300" xr:uid="{00000000-0005-0000-0000-000017050000}"/>
    <cellStyle name="Heading 1 19" xfId="1301" xr:uid="{00000000-0005-0000-0000-000018050000}"/>
    <cellStyle name="Heading 1 2" xfId="1302" xr:uid="{00000000-0005-0000-0000-000019050000}"/>
    <cellStyle name="Heading 1 2 2" xfId="1303" xr:uid="{00000000-0005-0000-0000-00001A050000}"/>
    <cellStyle name="Heading 1 20" xfId="1304" xr:uid="{00000000-0005-0000-0000-00001B050000}"/>
    <cellStyle name="Heading 1 21" xfId="1305" xr:uid="{00000000-0005-0000-0000-00001C050000}"/>
    <cellStyle name="Heading 1 22" xfId="1306" xr:uid="{00000000-0005-0000-0000-00001D050000}"/>
    <cellStyle name="Heading 1 23" xfId="1307" xr:uid="{00000000-0005-0000-0000-00001E050000}"/>
    <cellStyle name="Heading 1 24" xfId="1308" xr:uid="{00000000-0005-0000-0000-00001F050000}"/>
    <cellStyle name="Heading 1 25" xfId="1309" xr:uid="{00000000-0005-0000-0000-000020050000}"/>
    <cellStyle name="Heading 1 26" xfId="1310" xr:uid="{00000000-0005-0000-0000-000021050000}"/>
    <cellStyle name="Heading 1 27" xfId="1311" xr:uid="{00000000-0005-0000-0000-000022050000}"/>
    <cellStyle name="Heading 1 3" xfId="1312" xr:uid="{00000000-0005-0000-0000-000023050000}"/>
    <cellStyle name="Heading 1 3 2" xfId="1313" xr:uid="{00000000-0005-0000-0000-000024050000}"/>
    <cellStyle name="Heading 1 4" xfId="1314" xr:uid="{00000000-0005-0000-0000-000025050000}"/>
    <cellStyle name="Heading 1 4 2" xfId="1315" xr:uid="{00000000-0005-0000-0000-000026050000}"/>
    <cellStyle name="Heading 1 5" xfId="1316" xr:uid="{00000000-0005-0000-0000-000027050000}"/>
    <cellStyle name="Heading 1 6" xfId="1317" xr:uid="{00000000-0005-0000-0000-000028050000}"/>
    <cellStyle name="Heading 1 7" xfId="1318" xr:uid="{00000000-0005-0000-0000-000029050000}"/>
    <cellStyle name="Heading 1 8" xfId="1319" xr:uid="{00000000-0005-0000-0000-00002A050000}"/>
    <cellStyle name="Heading 1 9" xfId="1320" xr:uid="{00000000-0005-0000-0000-00002B050000}"/>
    <cellStyle name="Heading 2 10" xfId="1321" xr:uid="{00000000-0005-0000-0000-00002C050000}"/>
    <cellStyle name="Heading 2 11" xfId="1322" xr:uid="{00000000-0005-0000-0000-00002D050000}"/>
    <cellStyle name="Heading 2 12" xfId="1323" xr:uid="{00000000-0005-0000-0000-00002E050000}"/>
    <cellStyle name="Heading 2 13" xfId="1324" xr:uid="{00000000-0005-0000-0000-00002F050000}"/>
    <cellStyle name="Heading 2 14" xfId="1325" xr:uid="{00000000-0005-0000-0000-000030050000}"/>
    <cellStyle name="Heading 2 14 2" xfId="1326" xr:uid="{00000000-0005-0000-0000-000031050000}"/>
    <cellStyle name="Heading 2 15" xfId="1327" xr:uid="{00000000-0005-0000-0000-000032050000}"/>
    <cellStyle name="Heading 2 16" xfId="1328" xr:uid="{00000000-0005-0000-0000-000033050000}"/>
    <cellStyle name="Heading 2 17" xfId="1329" xr:uid="{00000000-0005-0000-0000-000034050000}"/>
    <cellStyle name="Heading 2 18" xfId="1330" xr:uid="{00000000-0005-0000-0000-000035050000}"/>
    <cellStyle name="Heading 2 19" xfId="1331" xr:uid="{00000000-0005-0000-0000-000036050000}"/>
    <cellStyle name="Heading 2 2" xfId="1332" xr:uid="{00000000-0005-0000-0000-000037050000}"/>
    <cellStyle name="Heading 2 2 2" xfId="1333" xr:uid="{00000000-0005-0000-0000-000038050000}"/>
    <cellStyle name="Heading 2 20" xfId="1334" xr:uid="{00000000-0005-0000-0000-000039050000}"/>
    <cellStyle name="Heading 2 21" xfId="1335" xr:uid="{00000000-0005-0000-0000-00003A050000}"/>
    <cellStyle name="Heading 2 22" xfId="1336" xr:uid="{00000000-0005-0000-0000-00003B050000}"/>
    <cellStyle name="Heading 2 23" xfId="1337" xr:uid="{00000000-0005-0000-0000-00003C050000}"/>
    <cellStyle name="Heading 2 24" xfId="1338" xr:uid="{00000000-0005-0000-0000-00003D050000}"/>
    <cellStyle name="Heading 2 25" xfId="1339" xr:uid="{00000000-0005-0000-0000-00003E050000}"/>
    <cellStyle name="Heading 2 26" xfId="1340" xr:uid="{00000000-0005-0000-0000-00003F050000}"/>
    <cellStyle name="Heading 2 27" xfId="1341" xr:uid="{00000000-0005-0000-0000-000040050000}"/>
    <cellStyle name="Heading 2 3" xfId="1342" xr:uid="{00000000-0005-0000-0000-000041050000}"/>
    <cellStyle name="Heading 2 3 2" xfId="1343" xr:uid="{00000000-0005-0000-0000-000042050000}"/>
    <cellStyle name="Heading 2 4" xfId="1344" xr:uid="{00000000-0005-0000-0000-000043050000}"/>
    <cellStyle name="Heading 2 4 2" xfId="1345" xr:uid="{00000000-0005-0000-0000-000044050000}"/>
    <cellStyle name="Heading 2 5" xfId="1346" xr:uid="{00000000-0005-0000-0000-000045050000}"/>
    <cellStyle name="Heading 2 6" xfId="1347" xr:uid="{00000000-0005-0000-0000-000046050000}"/>
    <cellStyle name="Heading 2 7" xfId="1348" xr:uid="{00000000-0005-0000-0000-000047050000}"/>
    <cellStyle name="Heading 2 8" xfId="1349" xr:uid="{00000000-0005-0000-0000-000048050000}"/>
    <cellStyle name="Heading 2 9" xfId="1350" xr:uid="{00000000-0005-0000-0000-000049050000}"/>
    <cellStyle name="Heading 3 10" xfId="1351" xr:uid="{00000000-0005-0000-0000-00004A050000}"/>
    <cellStyle name="Heading 3 11" xfId="1352" xr:uid="{00000000-0005-0000-0000-00004B050000}"/>
    <cellStyle name="Heading 3 12" xfId="1353" xr:uid="{00000000-0005-0000-0000-00004C050000}"/>
    <cellStyle name="Heading 3 13" xfId="1354" xr:uid="{00000000-0005-0000-0000-00004D050000}"/>
    <cellStyle name="Heading 3 14" xfId="1355" xr:uid="{00000000-0005-0000-0000-00004E050000}"/>
    <cellStyle name="Heading 3 2" xfId="1356" xr:uid="{00000000-0005-0000-0000-00004F050000}"/>
    <cellStyle name="Heading 3 3" xfId="1357" xr:uid="{00000000-0005-0000-0000-000050050000}"/>
    <cellStyle name="Heading 3 4" xfId="1358" xr:uid="{00000000-0005-0000-0000-000051050000}"/>
    <cellStyle name="Heading 3 5" xfId="1359" xr:uid="{00000000-0005-0000-0000-000052050000}"/>
    <cellStyle name="Heading 3 6" xfId="1360" xr:uid="{00000000-0005-0000-0000-000053050000}"/>
    <cellStyle name="Heading 3 7" xfId="1361" xr:uid="{00000000-0005-0000-0000-000054050000}"/>
    <cellStyle name="Heading 3 8" xfId="1362" xr:uid="{00000000-0005-0000-0000-000055050000}"/>
    <cellStyle name="Heading 3 9" xfId="1363" xr:uid="{00000000-0005-0000-0000-000056050000}"/>
    <cellStyle name="Heading 4 10" xfId="1364" xr:uid="{00000000-0005-0000-0000-000057050000}"/>
    <cellStyle name="Heading 4 11" xfId="1365" xr:uid="{00000000-0005-0000-0000-000058050000}"/>
    <cellStyle name="Heading 4 12" xfId="1366" xr:uid="{00000000-0005-0000-0000-000059050000}"/>
    <cellStyle name="Heading 4 13" xfId="1367" xr:uid="{00000000-0005-0000-0000-00005A050000}"/>
    <cellStyle name="Heading 4 14" xfId="1368" xr:uid="{00000000-0005-0000-0000-00005B050000}"/>
    <cellStyle name="Heading 4 2" xfId="1369" xr:uid="{00000000-0005-0000-0000-00005C050000}"/>
    <cellStyle name="Heading 4 3" xfId="1370" xr:uid="{00000000-0005-0000-0000-00005D050000}"/>
    <cellStyle name="Heading 4 4" xfId="1371" xr:uid="{00000000-0005-0000-0000-00005E050000}"/>
    <cellStyle name="Heading 4 5" xfId="1372" xr:uid="{00000000-0005-0000-0000-00005F050000}"/>
    <cellStyle name="Heading 4 6" xfId="1373" xr:uid="{00000000-0005-0000-0000-000060050000}"/>
    <cellStyle name="Heading 4 7" xfId="1374" xr:uid="{00000000-0005-0000-0000-000061050000}"/>
    <cellStyle name="Heading 4 8" xfId="1375" xr:uid="{00000000-0005-0000-0000-000062050000}"/>
    <cellStyle name="Heading 4 9" xfId="1376" xr:uid="{00000000-0005-0000-0000-000063050000}"/>
    <cellStyle name="Heading1" xfId="1377" xr:uid="{00000000-0005-0000-0000-000064050000}"/>
    <cellStyle name="Heading2" xfId="1378" xr:uid="{00000000-0005-0000-0000-000065050000}"/>
    <cellStyle name="HEADINGS" xfId="1379" xr:uid="{00000000-0005-0000-0000-000066050000}"/>
    <cellStyle name="HEADINGSTOP" xfId="1380" xr:uid="{00000000-0005-0000-0000-000067050000}"/>
    <cellStyle name="Hyperlink 2" xfId="1381" xr:uid="{00000000-0005-0000-0000-000068050000}"/>
    <cellStyle name="Hyperlink 2 2" xfId="1382" xr:uid="{00000000-0005-0000-0000-000069050000}"/>
    <cellStyle name="Hyperlink 2 3" xfId="1383" xr:uid="{00000000-0005-0000-0000-00006A050000}"/>
    <cellStyle name="Hyperlink 2 4" xfId="1384" xr:uid="{00000000-0005-0000-0000-00006B050000}"/>
    <cellStyle name="Hyperlink 2 5" xfId="1385" xr:uid="{00000000-0005-0000-0000-00006C050000}"/>
    <cellStyle name="Hyperlink 2 6" xfId="1386" xr:uid="{00000000-0005-0000-0000-00006D050000}"/>
    <cellStyle name="Hyperlink 2 7" xfId="1387" xr:uid="{00000000-0005-0000-0000-00006E050000}"/>
    <cellStyle name="Hyperlink 2_Analisa" xfId="1388" xr:uid="{00000000-0005-0000-0000-00006F050000}"/>
    <cellStyle name="Hyperlink 3" xfId="1389" xr:uid="{00000000-0005-0000-0000-000070050000}"/>
    <cellStyle name="Input [yellow]" xfId="1390" xr:uid="{00000000-0005-0000-0000-000071050000}"/>
    <cellStyle name="Input 10" xfId="1391" xr:uid="{00000000-0005-0000-0000-000072050000}"/>
    <cellStyle name="Input 10 2" xfId="1392" xr:uid="{00000000-0005-0000-0000-000073050000}"/>
    <cellStyle name="Input 11" xfId="1393" xr:uid="{00000000-0005-0000-0000-000074050000}"/>
    <cellStyle name="Input 11 2" xfId="1394" xr:uid="{00000000-0005-0000-0000-000075050000}"/>
    <cellStyle name="Input 12" xfId="1395" xr:uid="{00000000-0005-0000-0000-000076050000}"/>
    <cellStyle name="Input 12 2" xfId="1396" xr:uid="{00000000-0005-0000-0000-000077050000}"/>
    <cellStyle name="Input 13" xfId="1397" xr:uid="{00000000-0005-0000-0000-000078050000}"/>
    <cellStyle name="Input 13 2" xfId="1398" xr:uid="{00000000-0005-0000-0000-000079050000}"/>
    <cellStyle name="Input 14" xfId="1399" xr:uid="{00000000-0005-0000-0000-00007A050000}"/>
    <cellStyle name="Input 14 2" xfId="1400" xr:uid="{00000000-0005-0000-0000-00007B050000}"/>
    <cellStyle name="Input 2" xfId="1401" xr:uid="{00000000-0005-0000-0000-00007C050000}"/>
    <cellStyle name="Input 2 2" xfId="1402" xr:uid="{00000000-0005-0000-0000-00007D050000}"/>
    <cellStyle name="Input 3" xfId="1403" xr:uid="{00000000-0005-0000-0000-00007E050000}"/>
    <cellStyle name="Input 3 2" xfId="1404" xr:uid="{00000000-0005-0000-0000-00007F050000}"/>
    <cellStyle name="Input 4" xfId="1405" xr:uid="{00000000-0005-0000-0000-000080050000}"/>
    <cellStyle name="Input 4 2" xfId="1406" xr:uid="{00000000-0005-0000-0000-000081050000}"/>
    <cellStyle name="Input 5" xfId="1407" xr:uid="{00000000-0005-0000-0000-000082050000}"/>
    <cellStyle name="Input 5 2" xfId="1408" xr:uid="{00000000-0005-0000-0000-000083050000}"/>
    <cellStyle name="Input 6" xfId="1409" xr:uid="{00000000-0005-0000-0000-000084050000}"/>
    <cellStyle name="Input 6 2" xfId="1410" xr:uid="{00000000-0005-0000-0000-000085050000}"/>
    <cellStyle name="Input 7" xfId="1411" xr:uid="{00000000-0005-0000-0000-000086050000}"/>
    <cellStyle name="Input 7 2" xfId="1412" xr:uid="{00000000-0005-0000-0000-000087050000}"/>
    <cellStyle name="Input 8" xfId="1413" xr:uid="{00000000-0005-0000-0000-000088050000}"/>
    <cellStyle name="Input 8 2" xfId="1414" xr:uid="{00000000-0005-0000-0000-000089050000}"/>
    <cellStyle name="Input 9" xfId="1415" xr:uid="{00000000-0005-0000-0000-00008A050000}"/>
    <cellStyle name="Input 9 2" xfId="1416" xr:uid="{00000000-0005-0000-0000-00008B050000}"/>
    <cellStyle name="Labels" xfId="1417" xr:uid="{00000000-0005-0000-0000-00008C050000}"/>
    <cellStyle name="Labels - Style3" xfId="1418" xr:uid="{00000000-0005-0000-0000-00008D050000}"/>
    <cellStyle name="Linked Cell 10" xfId="1419" xr:uid="{00000000-0005-0000-0000-00008E050000}"/>
    <cellStyle name="Linked Cell 11" xfId="1420" xr:uid="{00000000-0005-0000-0000-00008F050000}"/>
    <cellStyle name="Linked Cell 12" xfId="1421" xr:uid="{00000000-0005-0000-0000-000090050000}"/>
    <cellStyle name="Linked Cell 13" xfId="1422" xr:uid="{00000000-0005-0000-0000-000091050000}"/>
    <cellStyle name="Linked Cell 14" xfId="1423" xr:uid="{00000000-0005-0000-0000-000092050000}"/>
    <cellStyle name="Linked Cell 2" xfId="1424" xr:uid="{00000000-0005-0000-0000-000093050000}"/>
    <cellStyle name="Linked Cell 3" xfId="1425" xr:uid="{00000000-0005-0000-0000-000094050000}"/>
    <cellStyle name="Linked Cell 4" xfId="1426" xr:uid="{00000000-0005-0000-0000-000095050000}"/>
    <cellStyle name="Linked Cell 5" xfId="1427" xr:uid="{00000000-0005-0000-0000-000096050000}"/>
    <cellStyle name="Linked Cell 6" xfId="1428" xr:uid="{00000000-0005-0000-0000-000097050000}"/>
    <cellStyle name="Linked Cell 7" xfId="1429" xr:uid="{00000000-0005-0000-0000-000098050000}"/>
    <cellStyle name="Linked Cell 8" xfId="1430" xr:uid="{00000000-0005-0000-0000-000099050000}"/>
    <cellStyle name="Linked Cell 9" xfId="1431" xr:uid="{00000000-0005-0000-0000-00009A050000}"/>
    <cellStyle name="lo" xfId="1432" xr:uid="{00000000-0005-0000-0000-00009B050000}"/>
    <cellStyle name="m" xfId="1433" xr:uid="{00000000-0005-0000-0000-00009C050000}"/>
    <cellStyle name="m_02 COAL HANDLING FACILITY (12 JUNI 2007)" xfId="1434" xr:uid="{00000000-0005-0000-0000-00009D050000}"/>
    <cellStyle name="m_06. UNIT SITEDELOPMENfffffT_ok" xfId="1435" xr:uid="{00000000-0005-0000-0000-00009E050000}"/>
    <cellStyle name="m_2183-ASEM-IFC-091029" xfId="1436" xr:uid="{00000000-0005-0000-0000-00009F050000}"/>
    <cellStyle name="m_2183-RAB-ARS-THP1-090901_asem-REVCS" xfId="1437" xr:uid="{00000000-0005-0000-0000-0000A0050000}"/>
    <cellStyle name="m_7. RAB GENZET_DANG'S" xfId="1438" xr:uid="{00000000-0005-0000-0000-0000A1050000}"/>
    <cellStyle name="m_8. RAB GROUNDTANK_DANG'S" xfId="1439" xr:uid="{00000000-0005-0000-0000-0000A2050000}"/>
    <cellStyle name="m_9. RAB DEPO SAMPAH_DANG'S" xfId="1440" xr:uid="{00000000-0005-0000-0000-0000A3050000}"/>
    <cellStyle name="m_Loc_43 SDN Ujung Padang Rev B Mdl G1-E-M 071205" xfId="1441" xr:uid="{00000000-0005-0000-0000-0000A4050000}"/>
    <cellStyle name="m_Loc_43 SDN Ujung Padang Rev B Mdl G1-E-M 071205_2183-ASEM-IFC-091029" xfId="1442" xr:uid="{00000000-0005-0000-0000-0000A5050000}"/>
    <cellStyle name="m_Loc_43 SDN Ujung Padang Rev B Mdl G1-E-M 071205_2183-RAB-ARS-THP1-090901_asem-REVCS" xfId="1443" xr:uid="{00000000-0005-0000-0000-0000A6050000}"/>
    <cellStyle name="m_Loc_43 SDN Ujung Padang Rev B Mdl G1-E-M 071205_RAB-AHS - E - 091030 Kirim" xfId="1444" xr:uid="{00000000-0005-0000-0000-0000A7050000}"/>
    <cellStyle name="m_RAB GAPURA_YUYAM" xfId="1445" xr:uid="{00000000-0005-0000-0000-0000A8050000}"/>
    <cellStyle name="m_RAB Plumbing Terminal jombor" xfId="1446" xr:uid="{00000000-0005-0000-0000-0000A9050000}"/>
    <cellStyle name="m_RAB-AHS - E - 091030 Kirim" xfId="1447" xr:uid="{00000000-0005-0000-0000-0000AA050000}"/>
    <cellStyle name="Milliers [0]_AR1194" xfId="1448" xr:uid="{00000000-0005-0000-0000-0000AB050000}"/>
    <cellStyle name="Milliers_AR1194" xfId="1449" xr:uid="{00000000-0005-0000-0000-0000AC050000}"/>
    <cellStyle name="Monétaire [0]_AR1194" xfId="1450" xr:uid="{00000000-0005-0000-0000-0000AD050000}"/>
    <cellStyle name="Monétaire_AR1194" xfId="1451" xr:uid="{00000000-0005-0000-0000-0000AE050000}"/>
    <cellStyle name="Neutral 10" xfId="1452" xr:uid="{00000000-0005-0000-0000-0000AF050000}"/>
    <cellStyle name="Neutral 11" xfId="1453" xr:uid="{00000000-0005-0000-0000-0000B0050000}"/>
    <cellStyle name="Neutral 12" xfId="1454" xr:uid="{00000000-0005-0000-0000-0000B1050000}"/>
    <cellStyle name="Neutral 13" xfId="1455" xr:uid="{00000000-0005-0000-0000-0000B2050000}"/>
    <cellStyle name="Neutral 14" xfId="1456" xr:uid="{00000000-0005-0000-0000-0000B3050000}"/>
    <cellStyle name="Neutral 2" xfId="1457" xr:uid="{00000000-0005-0000-0000-0000B4050000}"/>
    <cellStyle name="Neutral 3" xfId="1458" xr:uid="{00000000-0005-0000-0000-0000B5050000}"/>
    <cellStyle name="Neutral 4" xfId="1459" xr:uid="{00000000-0005-0000-0000-0000B6050000}"/>
    <cellStyle name="Neutral 5" xfId="1460" xr:uid="{00000000-0005-0000-0000-0000B7050000}"/>
    <cellStyle name="Neutral 6" xfId="1461" xr:uid="{00000000-0005-0000-0000-0000B8050000}"/>
    <cellStyle name="Neutral 7" xfId="1462" xr:uid="{00000000-0005-0000-0000-0000B9050000}"/>
    <cellStyle name="Neutral 8" xfId="1463" xr:uid="{00000000-0005-0000-0000-0000BA050000}"/>
    <cellStyle name="Neutral 9" xfId="1464" xr:uid="{00000000-0005-0000-0000-0000BB050000}"/>
    <cellStyle name="Normal" xfId="0" builtinId="0"/>
    <cellStyle name="Normal - Style1" xfId="1465" xr:uid="{00000000-0005-0000-0000-0000BD050000}"/>
    <cellStyle name="Normal - Style1 2" xfId="1466" xr:uid="{00000000-0005-0000-0000-0000BE050000}"/>
    <cellStyle name="Normal - Style2" xfId="1467" xr:uid="{00000000-0005-0000-0000-0000BF050000}"/>
    <cellStyle name="Normal - Style3" xfId="1468" xr:uid="{00000000-0005-0000-0000-0000C0050000}"/>
    <cellStyle name="Normal - Style4" xfId="1469" xr:uid="{00000000-0005-0000-0000-0000C1050000}"/>
    <cellStyle name="Normal - Style5" xfId="1470" xr:uid="{00000000-0005-0000-0000-0000C2050000}"/>
    <cellStyle name="Normal - Style6" xfId="1471" xr:uid="{00000000-0005-0000-0000-0000C3050000}"/>
    <cellStyle name="Normal - Style7" xfId="1472" xr:uid="{00000000-0005-0000-0000-0000C4050000}"/>
    <cellStyle name="Normal - Style8" xfId="1473" xr:uid="{00000000-0005-0000-0000-0000C5050000}"/>
    <cellStyle name="Normal (1)" xfId="1474" xr:uid="{00000000-0005-0000-0000-0000C6050000}"/>
    <cellStyle name="Normal 1" xfId="1475" xr:uid="{00000000-0005-0000-0000-0000C7050000}"/>
    <cellStyle name="Normal 10" xfId="1476" xr:uid="{00000000-0005-0000-0000-0000C8050000}"/>
    <cellStyle name="Normal 10 10" xfId="1477" xr:uid="{00000000-0005-0000-0000-0000C9050000}"/>
    <cellStyle name="Normal 10 2" xfId="1478" xr:uid="{00000000-0005-0000-0000-0000CA050000}"/>
    <cellStyle name="Normal 10 2 2" xfId="1479" xr:uid="{00000000-0005-0000-0000-0000CB050000}"/>
    <cellStyle name="Normal 10 3" xfId="1480" xr:uid="{00000000-0005-0000-0000-0000CC050000}"/>
    <cellStyle name="Normal 10 4" xfId="1481" xr:uid="{00000000-0005-0000-0000-0000CD050000}"/>
    <cellStyle name="Normal 101" xfId="1482" xr:uid="{00000000-0005-0000-0000-0000CE050000}"/>
    <cellStyle name="Normal 107" xfId="1483" xr:uid="{00000000-0005-0000-0000-0000CF050000}"/>
    <cellStyle name="Normal 11" xfId="1484" xr:uid="{00000000-0005-0000-0000-0000D0050000}"/>
    <cellStyle name="Normal 11 2" xfId="1485" xr:uid="{00000000-0005-0000-0000-0000D1050000}"/>
    <cellStyle name="Normal 118" xfId="1486" xr:uid="{00000000-0005-0000-0000-0000D2050000}"/>
    <cellStyle name="Normal 12" xfId="1487" xr:uid="{00000000-0005-0000-0000-0000D3050000}"/>
    <cellStyle name="Normal 12 2" xfId="1488" xr:uid="{00000000-0005-0000-0000-0000D4050000}"/>
    <cellStyle name="Normal 12 3" xfId="1489" xr:uid="{00000000-0005-0000-0000-0000D5050000}"/>
    <cellStyle name="Normal 13" xfId="1490" xr:uid="{00000000-0005-0000-0000-0000D6050000}"/>
    <cellStyle name="Normal 13 2" xfId="1491" xr:uid="{00000000-0005-0000-0000-0000D7050000}"/>
    <cellStyle name="Normal 13 3" xfId="1492" xr:uid="{00000000-0005-0000-0000-0000D8050000}"/>
    <cellStyle name="Normal 14" xfId="1493" xr:uid="{00000000-0005-0000-0000-0000D9050000}"/>
    <cellStyle name="Normal 14 2" xfId="1494" xr:uid="{00000000-0005-0000-0000-0000DA050000}"/>
    <cellStyle name="Normal 15" xfId="1495" xr:uid="{00000000-0005-0000-0000-0000DB050000}"/>
    <cellStyle name="Normal 15 2" xfId="1496" xr:uid="{00000000-0005-0000-0000-0000DC050000}"/>
    <cellStyle name="Normal 15 3" xfId="1497" xr:uid="{00000000-0005-0000-0000-0000DD050000}"/>
    <cellStyle name="Normal 15_RAB SDN ploso3" xfId="1498" xr:uid="{00000000-0005-0000-0000-0000DE050000}"/>
    <cellStyle name="Normal 16" xfId="1499" xr:uid="{00000000-0005-0000-0000-0000DF050000}"/>
    <cellStyle name="Normal 16 2" xfId="1500" xr:uid="{00000000-0005-0000-0000-0000E0050000}"/>
    <cellStyle name="Normal 16 2 2" xfId="1501" xr:uid="{00000000-0005-0000-0000-0000E1050000}"/>
    <cellStyle name="Normal 16 2 2 2 2" xfId="1502" xr:uid="{00000000-0005-0000-0000-0000E2050000}"/>
    <cellStyle name="Normal 16 3" xfId="1503" xr:uid="{00000000-0005-0000-0000-0000E3050000}"/>
    <cellStyle name="Normal 17" xfId="1504" xr:uid="{00000000-0005-0000-0000-0000E4050000}"/>
    <cellStyle name="Normal 17 2" xfId="1505" xr:uid="{00000000-0005-0000-0000-0000E5050000}"/>
    <cellStyle name="Normal 18" xfId="1506" xr:uid="{00000000-0005-0000-0000-0000E6050000}"/>
    <cellStyle name="Normal 18 2" xfId="1507" xr:uid="{00000000-0005-0000-0000-0000E7050000}"/>
    <cellStyle name="Normal 19" xfId="1508" xr:uid="{00000000-0005-0000-0000-0000E8050000}"/>
    <cellStyle name="Normal 19 2" xfId="1509" xr:uid="{00000000-0005-0000-0000-0000E9050000}"/>
    <cellStyle name="Normal 2" xfId="1510" xr:uid="{00000000-0005-0000-0000-0000EA050000}"/>
    <cellStyle name="Normal 2 10" xfId="1511" xr:uid="{00000000-0005-0000-0000-0000EB050000}"/>
    <cellStyle name="Normal 2 10 2" xfId="1512" xr:uid="{00000000-0005-0000-0000-0000EC050000}"/>
    <cellStyle name="Normal 2 10_DJ mc0 OK" xfId="1513" xr:uid="{00000000-0005-0000-0000-0000ED050000}"/>
    <cellStyle name="Normal 2 11" xfId="1514" xr:uid="{00000000-0005-0000-0000-0000EE050000}"/>
    <cellStyle name="Normal 2 12" xfId="1515" xr:uid="{00000000-0005-0000-0000-0000EF050000}"/>
    <cellStyle name="Normal 2 13" xfId="1516" xr:uid="{00000000-0005-0000-0000-0000F0050000}"/>
    <cellStyle name="Normal 2 14" xfId="1517" xr:uid="{00000000-0005-0000-0000-0000F1050000}"/>
    <cellStyle name="Normal 2 15" xfId="1518" xr:uid="{00000000-0005-0000-0000-0000F2050000}"/>
    <cellStyle name="Normal 2 16" xfId="1519" xr:uid="{00000000-0005-0000-0000-0000F3050000}"/>
    <cellStyle name="Normal 2 17" xfId="1520" xr:uid="{00000000-0005-0000-0000-0000F4050000}"/>
    <cellStyle name="Normal 2 18" xfId="1521" xr:uid="{00000000-0005-0000-0000-0000F5050000}"/>
    <cellStyle name="Normal 2 19" xfId="1522" xr:uid="{00000000-0005-0000-0000-0000F6050000}"/>
    <cellStyle name="Normal 2 2" xfId="1523" xr:uid="{00000000-0005-0000-0000-0000F7050000}"/>
    <cellStyle name="Normal 2 2 10" xfId="1524" xr:uid="{00000000-0005-0000-0000-0000F8050000}"/>
    <cellStyle name="Normal 2 2 2" xfId="1525" xr:uid="{00000000-0005-0000-0000-0000F9050000}"/>
    <cellStyle name="Normal 2 2 2 2" xfId="1526" xr:uid="{00000000-0005-0000-0000-0000FA050000}"/>
    <cellStyle name="Normal 2 2 2_B1. RAB KAWASAN" xfId="1527" xr:uid="{00000000-0005-0000-0000-0000FB050000}"/>
    <cellStyle name="Normal 2 2 3" xfId="1528" xr:uid="{00000000-0005-0000-0000-0000FC050000}"/>
    <cellStyle name="Normal 2 2_00c. ANALISA ELEKTRIKAL_02" xfId="1529" xr:uid="{00000000-0005-0000-0000-0000FD050000}"/>
    <cellStyle name="Normal 2 20" xfId="1530" xr:uid="{00000000-0005-0000-0000-0000FE050000}"/>
    <cellStyle name="Normal 2 20 2" xfId="1531" xr:uid="{00000000-0005-0000-0000-0000FF050000}"/>
    <cellStyle name="Normal 2 21" xfId="1532" xr:uid="{00000000-0005-0000-0000-000000060000}"/>
    <cellStyle name="Normal 2 22" xfId="1533" xr:uid="{00000000-0005-0000-0000-000001060000}"/>
    <cellStyle name="Normal 2 23" xfId="1534" xr:uid="{00000000-0005-0000-0000-000002060000}"/>
    <cellStyle name="Normal 2 24" xfId="1535" xr:uid="{00000000-0005-0000-0000-000003060000}"/>
    <cellStyle name="Normal 2 3" xfId="1536" xr:uid="{00000000-0005-0000-0000-000004060000}"/>
    <cellStyle name="Normal 2 3 2" xfId="1537" xr:uid="{00000000-0005-0000-0000-000005060000}"/>
    <cellStyle name="Normal 2 3 3" xfId="1538" xr:uid="{00000000-0005-0000-0000-000006060000}"/>
    <cellStyle name="Normal 2 3_00c. ANALISA ELEKTRIKAL_02" xfId="1539" xr:uid="{00000000-0005-0000-0000-000007060000}"/>
    <cellStyle name="Normal 2 4" xfId="1540" xr:uid="{00000000-0005-0000-0000-000008060000}"/>
    <cellStyle name="Normal 2 4 10" xfId="1541" xr:uid="{00000000-0005-0000-0000-000009060000}"/>
    <cellStyle name="Normal 2 4 100" xfId="1542" xr:uid="{00000000-0005-0000-0000-00000A060000}"/>
    <cellStyle name="Normal 2 4 101" xfId="1543" xr:uid="{00000000-0005-0000-0000-00000B060000}"/>
    <cellStyle name="Normal 2 4 102" xfId="1544" xr:uid="{00000000-0005-0000-0000-00000C060000}"/>
    <cellStyle name="Normal 2 4 103" xfId="1545" xr:uid="{00000000-0005-0000-0000-00000D060000}"/>
    <cellStyle name="Normal 2 4 104" xfId="1546" xr:uid="{00000000-0005-0000-0000-00000E060000}"/>
    <cellStyle name="Normal 2 4 105" xfId="1547" xr:uid="{00000000-0005-0000-0000-00000F060000}"/>
    <cellStyle name="Normal 2 4 106" xfId="1548" xr:uid="{00000000-0005-0000-0000-000010060000}"/>
    <cellStyle name="Normal 2 4 107" xfId="1549" xr:uid="{00000000-0005-0000-0000-000011060000}"/>
    <cellStyle name="Normal 2 4 108" xfId="1550" xr:uid="{00000000-0005-0000-0000-000012060000}"/>
    <cellStyle name="Normal 2 4 109" xfId="1551" xr:uid="{00000000-0005-0000-0000-000013060000}"/>
    <cellStyle name="Normal 2 4 11" xfId="1552" xr:uid="{00000000-0005-0000-0000-000014060000}"/>
    <cellStyle name="Normal 2 4 110" xfId="1553" xr:uid="{00000000-0005-0000-0000-000015060000}"/>
    <cellStyle name="Normal 2 4 111" xfId="1554" xr:uid="{00000000-0005-0000-0000-000016060000}"/>
    <cellStyle name="Normal 2 4 112" xfId="1555" xr:uid="{00000000-0005-0000-0000-000017060000}"/>
    <cellStyle name="Normal 2 4 113" xfId="1556" xr:uid="{00000000-0005-0000-0000-000018060000}"/>
    <cellStyle name="Normal 2 4 114" xfId="1557" xr:uid="{00000000-0005-0000-0000-000019060000}"/>
    <cellStyle name="Normal 2 4 115" xfId="1558" xr:uid="{00000000-0005-0000-0000-00001A060000}"/>
    <cellStyle name="Normal 2 4 116" xfId="1559" xr:uid="{00000000-0005-0000-0000-00001B060000}"/>
    <cellStyle name="Normal 2 4 117" xfId="1560" xr:uid="{00000000-0005-0000-0000-00001C060000}"/>
    <cellStyle name="Normal 2 4 118" xfId="1561" xr:uid="{00000000-0005-0000-0000-00001D060000}"/>
    <cellStyle name="Normal 2 4 119" xfId="1562" xr:uid="{00000000-0005-0000-0000-00001E060000}"/>
    <cellStyle name="Normal 2 4 12" xfId="1563" xr:uid="{00000000-0005-0000-0000-00001F060000}"/>
    <cellStyle name="Normal 2 4 120" xfId="1564" xr:uid="{00000000-0005-0000-0000-000020060000}"/>
    <cellStyle name="Normal 2 4 121" xfId="1565" xr:uid="{00000000-0005-0000-0000-000021060000}"/>
    <cellStyle name="Normal 2 4 122" xfId="1566" xr:uid="{00000000-0005-0000-0000-000022060000}"/>
    <cellStyle name="Normal 2 4 123" xfId="1567" xr:uid="{00000000-0005-0000-0000-000023060000}"/>
    <cellStyle name="Normal 2 4 124" xfId="1568" xr:uid="{00000000-0005-0000-0000-000024060000}"/>
    <cellStyle name="Normal 2 4 125" xfId="1569" xr:uid="{00000000-0005-0000-0000-000025060000}"/>
    <cellStyle name="Normal 2 4 126" xfId="1570" xr:uid="{00000000-0005-0000-0000-000026060000}"/>
    <cellStyle name="Normal 2 4 127" xfId="1571" xr:uid="{00000000-0005-0000-0000-000027060000}"/>
    <cellStyle name="Normal 2 4 128" xfId="1572" xr:uid="{00000000-0005-0000-0000-000028060000}"/>
    <cellStyle name="Normal 2 4 129" xfId="1573" xr:uid="{00000000-0005-0000-0000-000029060000}"/>
    <cellStyle name="Normal 2 4 13" xfId="1574" xr:uid="{00000000-0005-0000-0000-00002A060000}"/>
    <cellStyle name="Normal 2 4 130" xfId="1575" xr:uid="{00000000-0005-0000-0000-00002B060000}"/>
    <cellStyle name="Normal 2 4 131" xfId="1576" xr:uid="{00000000-0005-0000-0000-00002C060000}"/>
    <cellStyle name="Normal 2 4 132" xfId="1577" xr:uid="{00000000-0005-0000-0000-00002D060000}"/>
    <cellStyle name="Normal 2 4 133" xfId="1578" xr:uid="{00000000-0005-0000-0000-00002E060000}"/>
    <cellStyle name="Normal 2 4 134" xfId="1579" xr:uid="{00000000-0005-0000-0000-00002F060000}"/>
    <cellStyle name="Normal 2 4 135" xfId="1580" xr:uid="{00000000-0005-0000-0000-000030060000}"/>
    <cellStyle name="Normal 2 4 136" xfId="1581" xr:uid="{00000000-0005-0000-0000-000031060000}"/>
    <cellStyle name="Normal 2 4 137" xfId="1582" xr:uid="{00000000-0005-0000-0000-000032060000}"/>
    <cellStyle name="Normal 2 4 138" xfId="1583" xr:uid="{00000000-0005-0000-0000-000033060000}"/>
    <cellStyle name="Normal 2 4 139" xfId="1584" xr:uid="{00000000-0005-0000-0000-000034060000}"/>
    <cellStyle name="Normal 2 4 14" xfId="1585" xr:uid="{00000000-0005-0000-0000-000035060000}"/>
    <cellStyle name="Normal 2 4 140" xfId="1586" xr:uid="{00000000-0005-0000-0000-000036060000}"/>
    <cellStyle name="Normal 2 4 141" xfId="1587" xr:uid="{00000000-0005-0000-0000-000037060000}"/>
    <cellStyle name="Normal 2 4 142" xfId="1588" xr:uid="{00000000-0005-0000-0000-000038060000}"/>
    <cellStyle name="Normal 2 4 143" xfId="1589" xr:uid="{00000000-0005-0000-0000-000039060000}"/>
    <cellStyle name="Normal 2 4 15" xfId="1590" xr:uid="{00000000-0005-0000-0000-00003A060000}"/>
    <cellStyle name="Normal 2 4 16" xfId="1591" xr:uid="{00000000-0005-0000-0000-00003B060000}"/>
    <cellStyle name="Normal 2 4 17" xfId="1592" xr:uid="{00000000-0005-0000-0000-00003C060000}"/>
    <cellStyle name="Normal 2 4 18" xfId="1593" xr:uid="{00000000-0005-0000-0000-00003D060000}"/>
    <cellStyle name="Normal 2 4 19" xfId="1594" xr:uid="{00000000-0005-0000-0000-00003E060000}"/>
    <cellStyle name="Normal 2 4 2" xfId="1595" xr:uid="{00000000-0005-0000-0000-00003F060000}"/>
    <cellStyle name="Normal 2 4 20" xfId="1596" xr:uid="{00000000-0005-0000-0000-000040060000}"/>
    <cellStyle name="Normal 2 4 21" xfId="1597" xr:uid="{00000000-0005-0000-0000-000041060000}"/>
    <cellStyle name="Normal 2 4 22" xfId="1598" xr:uid="{00000000-0005-0000-0000-000042060000}"/>
    <cellStyle name="Normal 2 4 23" xfId="1599" xr:uid="{00000000-0005-0000-0000-000043060000}"/>
    <cellStyle name="Normal 2 4 24" xfId="1600" xr:uid="{00000000-0005-0000-0000-000044060000}"/>
    <cellStyle name="Normal 2 4 25" xfId="1601" xr:uid="{00000000-0005-0000-0000-000045060000}"/>
    <cellStyle name="Normal 2 4 26" xfId="1602" xr:uid="{00000000-0005-0000-0000-000046060000}"/>
    <cellStyle name="Normal 2 4 27" xfId="1603" xr:uid="{00000000-0005-0000-0000-000047060000}"/>
    <cellStyle name="Normal 2 4 28" xfId="1604" xr:uid="{00000000-0005-0000-0000-000048060000}"/>
    <cellStyle name="Normal 2 4 29" xfId="1605" xr:uid="{00000000-0005-0000-0000-000049060000}"/>
    <cellStyle name="Normal 2 4 3" xfId="1606" xr:uid="{00000000-0005-0000-0000-00004A060000}"/>
    <cellStyle name="Normal 2 4 30" xfId="1607" xr:uid="{00000000-0005-0000-0000-00004B060000}"/>
    <cellStyle name="Normal 2 4 31" xfId="1608" xr:uid="{00000000-0005-0000-0000-00004C060000}"/>
    <cellStyle name="Normal 2 4 32" xfId="1609" xr:uid="{00000000-0005-0000-0000-00004D060000}"/>
    <cellStyle name="Normal 2 4 33" xfId="1610" xr:uid="{00000000-0005-0000-0000-00004E060000}"/>
    <cellStyle name="Normal 2 4 34" xfId="1611" xr:uid="{00000000-0005-0000-0000-00004F060000}"/>
    <cellStyle name="Normal 2 4 35" xfId="1612" xr:uid="{00000000-0005-0000-0000-000050060000}"/>
    <cellStyle name="Normal 2 4 36" xfId="1613" xr:uid="{00000000-0005-0000-0000-000051060000}"/>
    <cellStyle name="Normal 2 4 37" xfId="1614" xr:uid="{00000000-0005-0000-0000-000052060000}"/>
    <cellStyle name="Normal 2 4 38" xfId="1615" xr:uid="{00000000-0005-0000-0000-000053060000}"/>
    <cellStyle name="Normal 2 4 39" xfId="1616" xr:uid="{00000000-0005-0000-0000-000054060000}"/>
    <cellStyle name="Normal 2 4 4" xfId="1617" xr:uid="{00000000-0005-0000-0000-000055060000}"/>
    <cellStyle name="Normal 2 4 40" xfId="1618" xr:uid="{00000000-0005-0000-0000-000056060000}"/>
    <cellStyle name="Normal 2 4 41" xfId="1619" xr:uid="{00000000-0005-0000-0000-000057060000}"/>
    <cellStyle name="Normal 2 4 42" xfId="1620" xr:uid="{00000000-0005-0000-0000-000058060000}"/>
    <cellStyle name="Normal 2 4 43" xfId="1621" xr:uid="{00000000-0005-0000-0000-000059060000}"/>
    <cellStyle name="Normal 2 4 44" xfId="1622" xr:uid="{00000000-0005-0000-0000-00005A060000}"/>
    <cellStyle name="Normal 2 4 45" xfId="1623" xr:uid="{00000000-0005-0000-0000-00005B060000}"/>
    <cellStyle name="Normal 2 4 46" xfId="1624" xr:uid="{00000000-0005-0000-0000-00005C060000}"/>
    <cellStyle name="Normal 2 4 47" xfId="1625" xr:uid="{00000000-0005-0000-0000-00005D060000}"/>
    <cellStyle name="Normal 2 4 48" xfId="1626" xr:uid="{00000000-0005-0000-0000-00005E060000}"/>
    <cellStyle name="Normal 2 4 49" xfId="1627" xr:uid="{00000000-0005-0000-0000-00005F060000}"/>
    <cellStyle name="Normal 2 4 5" xfId="1628" xr:uid="{00000000-0005-0000-0000-000060060000}"/>
    <cellStyle name="Normal 2 4 50" xfId="1629" xr:uid="{00000000-0005-0000-0000-000061060000}"/>
    <cellStyle name="Normal 2 4 51" xfId="1630" xr:uid="{00000000-0005-0000-0000-000062060000}"/>
    <cellStyle name="Normal 2 4 52" xfId="1631" xr:uid="{00000000-0005-0000-0000-000063060000}"/>
    <cellStyle name="Normal 2 4 53" xfId="1632" xr:uid="{00000000-0005-0000-0000-000064060000}"/>
    <cellStyle name="Normal 2 4 54" xfId="1633" xr:uid="{00000000-0005-0000-0000-000065060000}"/>
    <cellStyle name="Normal 2 4 55" xfId="1634" xr:uid="{00000000-0005-0000-0000-000066060000}"/>
    <cellStyle name="Normal 2 4 56" xfId="1635" xr:uid="{00000000-0005-0000-0000-000067060000}"/>
    <cellStyle name="Normal 2 4 57" xfId="1636" xr:uid="{00000000-0005-0000-0000-000068060000}"/>
    <cellStyle name="Normal 2 4 58" xfId="1637" xr:uid="{00000000-0005-0000-0000-000069060000}"/>
    <cellStyle name="Normal 2 4 59" xfId="1638" xr:uid="{00000000-0005-0000-0000-00006A060000}"/>
    <cellStyle name="Normal 2 4 6" xfId="1639" xr:uid="{00000000-0005-0000-0000-00006B060000}"/>
    <cellStyle name="Normal 2 4 60" xfId="1640" xr:uid="{00000000-0005-0000-0000-00006C060000}"/>
    <cellStyle name="Normal 2 4 61" xfId="1641" xr:uid="{00000000-0005-0000-0000-00006D060000}"/>
    <cellStyle name="Normal 2 4 62" xfId="1642" xr:uid="{00000000-0005-0000-0000-00006E060000}"/>
    <cellStyle name="Normal 2 4 63" xfId="1643" xr:uid="{00000000-0005-0000-0000-00006F060000}"/>
    <cellStyle name="Normal 2 4 64" xfId="1644" xr:uid="{00000000-0005-0000-0000-000070060000}"/>
    <cellStyle name="Normal 2 4 65" xfId="1645" xr:uid="{00000000-0005-0000-0000-000071060000}"/>
    <cellStyle name="Normal 2 4 66" xfId="1646" xr:uid="{00000000-0005-0000-0000-000072060000}"/>
    <cellStyle name="Normal 2 4 67" xfId="1647" xr:uid="{00000000-0005-0000-0000-000073060000}"/>
    <cellStyle name="Normal 2 4 68" xfId="1648" xr:uid="{00000000-0005-0000-0000-000074060000}"/>
    <cellStyle name="Normal 2 4 69" xfId="1649" xr:uid="{00000000-0005-0000-0000-000075060000}"/>
    <cellStyle name="Normal 2 4 7" xfId="1650" xr:uid="{00000000-0005-0000-0000-000076060000}"/>
    <cellStyle name="Normal 2 4 70" xfId="1651" xr:uid="{00000000-0005-0000-0000-000077060000}"/>
    <cellStyle name="Normal 2 4 71" xfId="1652" xr:uid="{00000000-0005-0000-0000-000078060000}"/>
    <cellStyle name="Normal 2 4 72" xfId="1653" xr:uid="{00000000-0005-0000-0000-000079060000}"/>
    <cellStyle name="Normal 2 4 73" xfId="1654" xr:uid="{00000000-0005-0000-0000-00007A060000}"/>
    <cellStyle name="Normal 2 4 74" xfId="1655" xr:uid="{00000000-0005-0000-0000-00007B060000}"/>
    <cellStyle name="Normal 2 4 75" xfId="1656" xr:uid="{00000000-0005-0000-0000-00007C060000}"/>
    <cellStyle name="Normal 2 4 76" xfId="1657" xr:uid="{00000000-0005-0000-0000-00007D060000}"/>
    <cellStyle name="Normal 2 4 77" xfId="1658" xr:uid="{00000000-0005-0000-0000-00007E060000}"/>
    <cellStyle name="Normal 2 4 78" xfId="1659" xr:uid="{00000000-0005-0000-0000-00007F060000}"/>
    <cellStyle name="Normal 2 4 79" xfId="1660" xr:uid="{00000000-0005-0000-0000-000080060000}"/>
    <cellStyle name="Normal 2 4 8" xfId="1661" xr:uid="{00000000-0005-0000-0000-000081060000}"/>
    <cellStyle name="Normal 2 4 80" xfId="1662" xr:uid="{00000000-0005-0000-0000-000082060000}"/>
    <cellStyle name="Normal 2 4 81" xfId="1663" xr:uid="{00000000-0005-0000-0000-000083060000}"/>
    <cellStyle name="Normal 2 4 82" xfId="1664" xr:uid="{00000000-0005-0000-0000-000084060000}"/>
    <cellStyle name="Normal 2 4 83" xfId="1665" xr:uid="{00000000-0005-0000-0000-000085060000}"/>
    <cellStyle name="Normal 2 4 84" xfId="1666" xr:uid="{00000000-0005-0000-0000-000086060000}"/>
    <cellStyle name="Normal 2 4 85" xfId="1667" xr:uid="{00000000-0005-0000-0000-000087060000}"/>
    <cellStyle name="Normal 2 4 86" xfId="1668" xr:uid="{00000000-0005-0000-0000-000088060000}"/>
    <cellStyle name="Normal 2 4 87" xfId="1669" xr:uid="{00000000-0005-0000-0000-000089060000}"/>
    <cellStyle name="Normal 2 4 88" xfId="1670" xr:uid="{00000000-0005-0000-0000-00008A060000}"/>
    <cellStyle name="Normal 2 4 89" xfId="1671" xr:uid="{00000000-0005-0000-0000-00008B060000}"/>
    <cellStyle name="Normal 2 4 9" xfId="1672" xr:uid="{00000000-0005-0000-0000-00008C060000}"/>
    <cellStyle name="Normal 2 4 90" xfId="1673" xr:uid="{00000000-0005-0000-0000-00008D060000}"/>
    <cellStyle name="Normal 2 4 91" xfId="1674" xr:uid="{00000000-0005-0000-0000-00008E060000}"/>
    <cellStyle name="Normal 2 4 92" xfId="1675" xr:uid="{00000000-0005-0000-0000-00008F060000}"/>
    <cellStyle name="Normal 2 4 93" xfId="1676" xr:uid="{00000000-0005-0000-0000-000090060000}"/>
    <cellStyle name="Normal 2 4 94" xfId="1677" xr:uid="{00000000-0005-0000-0000-000091060000}"/>
    <cellStyle name="Normal 2 4 95" xfId="1678" xr:uid="{00000000-0005-0000-0000-000092060000}"/>
    <cellStyle name="Normal 2 4 96" xfId="1679" xr:uid="{00000000-0005-0000-0000-000093060000}"/>
    <cellStyle name="Normal 2 4 97" xfId="1680" xr:uid="{00000000-0005-0000-0000-000094060000}"/>
    <cellStyle name="Normal 2 4 98" xfId="1681" xr:uid="{00000000-0005-0000-0000-000095060000}"/>
    <cellStyle name="Normal 2 4 99" xfId="1682" xr:uid="{00000000-0005-0000-0000-000096060000}"/>
    <cellStyle name="Normal 2 5" xfId="1683" xr:uid="{00000000-0005-0000-0000-000097060000}"/>
    <cellStyle name="Normal 2 5 2" xfId="1684" xr:uid="{00000000-0005-0000-0000-000098060000}"/>
    <cellStyle name="Normal 2 6" xfId="1685" xr:uid="{00000000-0005-0000-0000-000099060000}"/>
    <cellStyle name="Normal 2 6 2" xfId="1686" xr:uid="{00000000-0005-0000-0000-00009A060000}"/>
    <cellStyle name="Normal 2 6 2 2" xfId="1687" xr:uid="{00000000-0005-0000-0000-00009B060000}"/>
    <cellStyle name="Normal 2 7" xfId="1688" xr:uid="{00000000-0005-0000-0000-00009C060000}"/>
    <cellStyle name="Normal 2 8" xfId="1689" xr:uid="{00000000-0005-0000-0000-00009D060000}"/>
    <cellStyle name="Normal 2 9" xfId="1690" xr:uid="{00000000-0005-0000-0000-00009E060000}"/>
    <cellStyle name="Normal 2_@ PENAWARAN Rab_Rumdis Camat test" xfId="1691" xr:uid="{00000000-0005-0000-0000-00009F060000}"/>
    <cellStyle name="Normal 20" xfId="1692" xr:uid="{00000000-0005-0000-0000-0000A0060000}"/>
    <cellStyle name="Normal 21" xfId="1693" xr:uid="{00000000-0005-0000-0000-0000A1060000}"/>
    <cellStyle name="Normal 22" xfId="1694" xr:uid="{00000000-0005-0000-0000-0000A2060000}"/>
    <cellStyle name="Normal 22 2" xfId="1695" xr:uid="{00000000-0005-0000-0000-0000A3060000}"/>
    <cellStyle name="Normal 23" xfId="1696" xr:uid="{00000000-0005-0000-0000-0000A4060000}"/>
    <cellStyle name="Normal 24" xfId="1697" xr:uid="{00000000-0005-0000-0000-0000A5060000}"/>
    <cellStyle name="Normal 25" xfId="1698" xr:uid="{00000000-0005-0000-0000-0000A6060000}"/>
    <cellStyle name="Normal 25 2" xfId="1699" xr:uid="{00000000-0005-0000-0000-0000A7060000}"/>
    <cellStyle name="Normal 26" xfId="1700" xr:uid="{00000000-0005-0000-0000-0000A8060000}"/>
    <cellStyle name="Normal 26 2" xfId="1701" xr:uid="{00000000-0005-0000-0000-0000A9060000}"/>
    <cellStyle name="Normal 27" xfId="1702" xr:uid="{00000000-0005-0000-0000-0000AA060000}"/>
    <cellStyle name="Normal 27 2" xfId="1703" xr:uid="{00000000-0005-0000-0000-0000AB060000}"/>
    <cellStyle name="Normal 28" xfId="1704" xr:uid="{00000000-0005-0000-0000-0000AC060000}"/>
    <cellStyle name="Normal 29" xfId="1705" xr:uid="{00000000-0005-0000-0000-0000AD060000}"/>
    <cellStyle name="Normal 3" xfId="1706" xr:uid="{00000000-0005-0000-0000-0000AE060000}"/>
    <cellStyle name="Normal 3 2" xfId="1707" xr:uid="{00000000-0005-0000-0000-0000AF060000}"/>
    <cellStyle name="Normal 3 2 2" xfId="1708" xr:uid="{00000000-0005-0000-0000-0000B0060000}"/>
    <cellStyle name="Normal 3 2_Frz EE. RAB KEL JUWETKENONGO" xfId="1709" xr:uid="{00000000-0005-0000-0000-0000B1060000}"/>
    <cellStyle name="Normal 3 3" xfId="1710" xr:uid="{00000000-0005-0000-0000-0000B2060000}"/>
    <cellStyle name="Normal 3 3 2" xfId="1711" xr:uid="{00000000-0005-0000-0000-0000B3060000}"/>
    <cellStyle name="Normal 3 3 3" xfId="1712" xr:uid="{00000000-0005-0000-0000-0000B4060000}"/>
    <cellStyle name="Normal 3 4" xfId="1713" xr:uid="{00000000-0005-0000-0000-0000B5060000}"/>
    <cellStyle name="Normal 3 5" xfId="1714" xr:uid="{00000000-0005-0000-0000-0000B6060000}"/>
    <cellStyle name="Normal 3 6" xfId="1715" xr:uid="{00000000-0005-0000-0000-0000B7060000}"/>
    <cellStyle name="Normal 3 7" xfId="1716" xr:uid="{00000000-0005-0000-0000-0000B8060000}"/>
    <cellStyle name="Normal 3_00. ANALIS SNI EDISI REVISI_WLINGI ALL" xfId="1717" xr:uid="{00000000-0005-0000-0000-0000B9060000}"/>
    <cellStyle name="Normal 30" xfId="1718" xr:uid="{00000000-0005-0000-0000-0000BA060000}"/>
    <cellStyle name="Normal 31" xfId="1719" xr:uid="{00000000-0005-0000-0000-0000BB060000}"/>
    <cellStyle name="Normal 32" xfId="4" xr:uid="{00000000-0005-0000-0000-0000BC060000}"/>
    <cellStyle name="Normal 33" xfId="1720" xr:uid="{00000000-0005-0000-0000-0000BD060000}"/>
    <cellStyle name="Normal 34" xfId="2019" xr:uid="{00000000-0005-0000-0000-0000BE060000}"/>
    <cellStyle name="Normal 35" xfId="1721" xr:uid="{00000000-0005-0000-0000-0000BF060000}"/>
    <cellStyle name="Normal 36" xfId="1722" xr:uid="{00000000-0005-0000-0000-0000C0060000}"/>
    <cellStyle name="Normal 37" xfId="1723" xr:uid="{00000000-0005-0000-0000-0000C1060000}"/>
    <cellStyle name="Normal 38" xfId="2024" xr:uid="{00000000-0005-0000-0000-0000C2060000}"/>
    <cellStyle name="Normal 39" xfId="1724" xr:uid="{00000000-0005-0000-0000-0000C3060000}"/>
    <cellStyle name="Normal 4" xfId="1725" xr:uid="{00000000-0005-0000-0000-0000C4060000}"/>
    <cellStyle name="Normal 4 2" xfId="1726" xr:uid="{00000000-0005-0000-0000-0000C5060000}"/>
    <cellStyle name="Normal 4 2 2" xfId="1727" xr:uid="{00000000-0005-0000-0000-0000C6060000}"/>
    <cellStyle name="Normal 4 3" xfId="1728" xr:uid="{00000000-0005-0000-0000-0000C7060000}"/>
    <cellStyle name="Normal 4 4" xfId="1729" xr:uid="{00000000-0005-0000-0000-0000C8060000}"/>
    <cellStyle name="Normal 4_00c. ANALISA ELEKTRIKAL_02" xfId="1730" xr:uid="{00000000-0005-0000-0000-0000C9060000}"/>
    <cellStyle name="Normal 41" xfId="1731" xr:uid="{00000000-0005-0000-0000-0000CA060000}"/>
    <cellStyle name="Normal 43" xfId="1732" xr:uid="{00000000-0005-0000-0000-0000CB060000}"/>
    <cellStyle name="Normal 44 2 3 2" xfId="1733" xr:uid="{00000000-0005-0000-0000-0000CC060000}"/>
    <cellStyle name="Normal 47" xfId="1734" xr:uid="{00000000-0005-0000-0000-0000CD060000}"/>
    <cellStyle name="Normal 5" xfId="1735" xr:uid="{00000000-0005-0000-0000-0000CE060000}"/>
    <cellStyle name="Normal 5 10" xfId="1736" xr:uid="{00000000-0005-0000-0000-0000CF060000}"/>
    <cellStyle name="Normal 5 2" xfId="1737" xr:uid="{00000000-0005-0000-0000-0000D0060000}"/>
    <cellStyle name="Normal 5 2 2" xfId="1738" xr:uid="{00000000-0005-0000-0000-0000D1060000}"/>
    <cellStyle name="Normal 5 2 3" xfId="1739" xr:uid="{00000000-0005-0000-0000-0000D2060000}"/>
    <cellStyle name="Normal 5 2 4" xfId="1740" xr:uid="{00000000-0005-0000-0000-0000D3060000}"/>
    <cellStyle name="Normal 5 2 4 2" xfId="1741" xr:uid="{00000000-0005-0000-0000-0000D4060000}"/>
    <cellStyle name="Normal 5 2 5" xfId="1742" xr:uid="{00000000-0005-0000-0000-0000D5060000}"/>
    <cellStyle name="Normal 5 2 6" xfId="1743" xr:uid="{00000000-0005-0000-0000-0000D6060000}"/>
    <cellStyle name="Normal 5 2 7" xfId="1744" xr:uid="{00000000-0005-0000-0000-0000D7060000}"/>
    <cellStyle name="Normal 5 2 8" xfId="1745" xr:uid="{00000000-0005-0000-0000-0000D8060000}"/>
    <cellStyle name="Normal 5 2_00a. MASTER ANALIS SNI NGAWI" xfId="1746" xr:uid="{00000000-0005-0000-0000-0000D9060000}"/>
    <cellStyle name="Normal 5 3" xfId="1747" xr:uid="{00000000-0005-0000-0000-0000DA060000}"/>
    <cellStyle name="Normal 5 3 2" xfId="1748" xr:uid="{00000000-0005-0000-0000-0000DB060000}"/>
    <cellStyle name="Normal 5 3 2 2" xfId="1749" xr:uid="{00000000-0005-0000-0000-0000DC060000}"/>
    <cellStyle name="Normal 5 3 2 2 10" xfId="1750" xr:uid="{00000000-0005-0000-0000-0000DD060000}"/>
    <cellStyle name="Normal 5 3 2 2 10 2" xfId="1751" xr:uid="{00000000-0005-0000-0000-0000DE060000}"/>
    <cellStyle name="Normal 5 3 2 2 12" xfId="1752" xr:uid="{00000000-0005-0000-0000-0000DF060000}"/>
    <cellStyle name="Normal 5 3 2 2 2" xfId="1753" xr:uid="{00000000-0005-0000-0000-0000E0060000}"/>
    <cellStyle name="Normal 5 3 2 2 2 2" xfId="1754" xr:uid="{00000000-0005-0000-0000-0000E1060000}"/>
    <cellStyle name="Normal 5 3 2 2 2 3" xfId="1755" xr:uid="{00000000-0005-0000-0000-0000E2060000}"/>
    <cellStyle name="Normal 5 3 2 2 3" xfId="1756" xr:uid="{00000000-0005-0000-0000-0000E3060000}"/>
    <cellStyle name="Normal 5 3 2 2 3 2" xfId="1757" xr:uid="{00000000-0005-0000-0000-0000E4060000}"/>
    <cellStyle name="Normal 5 3 2 2 4" xfId="1758" xr:uid="{00000000-0005-0000-0000-0000E5060000}"/>
    <cellStyle name="Normal 5 3 2 2 4 2" xfId="1759" xr:uid="{00000000-0005-0000-0000-0000E6060000}"/>
    <cellStyle name="Normal 5 3 2 2 5" xfId="1760" xr:uid="{00000000-0005-0000-0000-0000E7060000}"/>
    <cellStyle name="Normal 5 3 2 2 5 2" xfId="1761" xr:uid="{00000000-0005-0000-0000-0000E8060000}"/>
    <cellStyle name="Normal 5 3 2 2 6" xfId="1762" xr:uid="{00000000-0005-0000-0000-0000E9060000}"/>
    <cellStyle name="Normal 5 3 2 2 6 2" xfId="1763" xr:uid="{00000000-0005-0000-0000-0000EA060000}"/>
    <cellStyle name="Normal 5 3 2 2 7" xfId="1764" xr:uid="{00000000-0005-0000-0000-0000EB060000}"/>
    <cellStyle name="Normal 5 3 2 2 8" xfId="1765" xr:uid="{00000000-0005-0000-0000-0000EC060000}"/>
    <cellStyle name="Normal 5 3 2 2 9" xfId="1766" xr:uid="{00000000-0005-0000-0000-0000ED060000}"/>
    <cellStyle name="Normal 5 3 2 2_A1. RAB UNIT HOTEL" xfId="1767" xr:uid="{00000000-0005-0000-0000-0000EE060000}"/>
    <cellStyle name="Normal 5 3 2_00b. ANALISA ELEKTRIKAL_01" xfId="1768" xr:uid="{00000000-0005-0000-0000-0000EF060000}"/>
    <cellStyle name="Normal 5 3 3" xfId="1769" xr:uid="{00000000-0005-0000-0000-0000F0060000}"/>
    <cellStyle name="Normal 5 3 3 2" xfId="1770" xr:uid="{00000000-0005-0000-0000-0000F1060000}"/>
    <cellStyle name="Normal 5 3 3_00a. MASTER ANALIS SNI NGAWI" xfId="1771" xr:uid="{00000000-0005-0000-0000-0000F2060000}"/>
    <cellStyle name="Normal 5 3 4" xfId="1772" xr:uid="{00000000-0005-0000-0000-0000F3060000}"/>
    <cellStyle name="Normal 5 3_00d. ANALISA PLUMBING_ALL" xfId="1773" xr:uid="{00000000-0005-0000-0000-0000F4060000}"/>
    <cellStyle name="Normal 5 4" xfId="1774" xr:uid="{00000000-0005-0000-0000-0000F5060000}"/>
    <cellStyle name="Normal 5 4 10" xfId="1775" xr:uid="{00000000-0005-0000-0000-0000F6060000}"/>
    <cellStyle name="Normal 5 4 11" xfId="1776" xr:uid="{00000000-0005-0000-0000-0000F7060000}"/>
    <cellStyle name="Normal 5 4 12" xfId="1777" xr:uid="{00000000-0005-0000-0000-0000F8060000}"/>
    <cellStyle name="Normal 5 4 13" xfId="1778" xr:uid="{00000000-0005-0000-0000-0000F9060000}"/>
    <cellStyle name="Normal 5 4 2" xfId="1779" xr:uid="{00000000-0005-0000-0000-0000FA060000}"/>
    <cellStyle name="Normal 5 4 2 2" xfId="1780" xr:uid="{00000000-0005-0000-0000-0000FB060000}"/>
    <cellStyle name="Normal 5 4 3" xfId="1781" xr:uid="{00000000-0005-0000-0000-0000FC060000}"/>
    <cellStyle name="Normal 5 4 4" xfId="1782" xr:uid="{00000000-0005-0000-0000-0000FD060000}"/>
    <cellStyle name="Normal 5 4 5" xfId="1783" xr:uid="{00000000-0005-0000-0000-0000FE060000}"/>
    <cellStyle name="Normal 5 4 6" xfId="1784" xr:uid="{00000000-0005-0000-0000-0000FF060000}"/>
    <cellStyle name="Normal 5 4 7" xfId="1785" xr:uid="{00000000-0005-0000-0000-000000070000}"/>
    <cellStyle name="Normal 5 4 8" xfId="1786" xr:uid="{00000000-0005-0000-0000-000001070000}"/>
    <cellStyle name="Normal 5 4 9" xfId="1787" xr:uid="{00000000-0005-0000-0000-000002070000}"/>
    <cellStyle name="Normal 5 5" xfId="1788" xr:uid="{00000000-0005-0000-0000-000003070000}"/>
    <cellStyle name="Normal 5 5 2 2" xfId="1789" xr:uid="{00000000-0005-0000-0000-000004070000}"/>
    <cellStyle name="Normal 5 6" xfId="1790" xr:uid="{00000000-0005-0000-0000-000005070000}"/>
    <cellStyle name="Normal 5 6 2" xfId="1791" xr:uid="{00000000-0005-0000-0000-000006070000}"/>
    <cellStyle name="Normal 5 7" xfId="1792" xr:uid="{00000000-0005-0000-0000-000007070000}"/>
    <cellStyle name="Normal 5 8" xfId="1793" xr:uid="{00000000-0005-0000-0000-000008070000}"/>
    <cellStyle name="Normal 5 8 2" xfId="1794" xr:uid="{00000000-0005-0000-0000-000009070000}"/>
    <cellStyle name="Normal 5 9" xfId="1795" xr:uid="{00000000-0005-0000-0000-00000A070000}"/>
    <cellStyle name="Normal 5_00. ANALIS SNI EDISI REVISI_WLINGI ALL" xfId="1796" xr:uid="{00000000-0005-0000-0000-00000B070000}"/>
    <cellStyle name="Normal 6" xfId="1797" xr:uid="{00000000-0005-0000-0000-00000C070000}"/>
    <cellStyle name="Normal 6 2" xfId="1798" xr:uid="{00000000-0005-0000-0000-00000D070000}"/>
    <cellStyle name="Normal 6 2 2" xfId="1799" xr:uid="{00000000-0005-0000-0000-00000E070000}"/>
    <cellStyle name="Normal 6 3" xfId="1800" xr:uid="{00000000-0005-0000-0000-00000F070000}"/>
    <cellStyle name="Normal 6_00a. MASTER ANALIS SNI NGAWI" xfId="1801" xr:uid="{00000000-0005-0000-0000-000010070000}"/>
    <cellStyle name="Normal 7" xfId="1802" xr:uid="{00000000-0005-0000-0000-000011070000}"/>
    <cellStyle name="Normal 7 2" xfId="1803" xr:uid="{00000000-0005-0000-0000-000012070000}"/>
    <cellStyle name="Normal 7 3" xfId="1804" xr:uid="{00000000-0005-0000-0000-000013070000}"/>
    <cellStyle name="Normal 7_BUDPAR CIREBON (8-5-07)" xfId="1805" xr:uid="{00000000-0005-0000-0000-000014070000}"/>
    <cellStyle name="Normal 78" xfId="1806" xr:uid="{00000000-0005-0000-0000-000015070000}"/>
    <cellStyle name="Normal 8" xfId="1807" xr:uid="{00000000-0005-0000-0000-000016070000}"/>
    <cellStyle name="Normal 8 2" xfId="1808" xr:uid="{00000000-0005-0000-0000-000017070000}"/>
    <cellStyle name="Normal 8 3" xfId="1809" xr:uid="{00000000-0005-0000-0000-000018070000}"/>
    <cellStyle name="Normal 8 3 2" xfId="1810" xr:uid="{00000000-0005-0000-0000-000019070000}"/>
    <cellStyle name="Normal 8 3 3" xfId="1811" xr:uid="{00000000-0005-0000-0000-00001A070000}"/>
    <cellStyle name="Normal 8 4" xfId="1812" xr:uid="{00000000-0005-0000-0000-00001B070000}"/>
    <cellStyle name="Normal 8 5" xfId="1813" xr:uid="{00000000-0005-0000-0000-00001C070000}"/>
    <cellStyle name="Normal 8 6" xfId="1814" xr:uid="{00000000-0005-0000-0000-00001D070000}"/>
    <cellStyle name="Normal 8 7" xfId="1815" xr:uid="{00000000-0005-0000-0000-00001E070000}"/>
    <cellStyle name="Normal 8_00. ANALISA  RS. NGAWI TAHAP II_250309" xfId="1816" xr:uid="{00000000-0005-0000-0000-00001F070000}"/>
    <cellStyle name="Normal 84" xfId="1817" xr:uid="{00000000-0005-0000-0000-000020070000}"/>
    <cellStyle name="Normal 9" xfId="1818" xr:uid="{00000000-0005-0000-0000-000021070000}"/>
    <cellStyle name="Normal 9 2" xfId="1819" xr:uid="{00000000-0005-0000-0000-000022070000}"/>
    <cellStyle name="Normal 9 3" xfId="1820" xr:uid="{00000000-0005-0000-0000-000023070000}"/>
    <cellStyle name="Normal 9 4" xfId="1821" xr:uid="{00000000-0005-0000-0000-000024070000}"/>
    <cellStyle name="Normal 9 5" xfId="1822" xr:uid="{00000000-0005-0000-0000-000025070000}"/>
    <cellStyle name="Normal 9 6" xfId="1823" xr:uid="{00000000-0005-0000-0000-000026070000}"/>
    <cellStyle name="Normal 9 7" xfId="1824" xr:uid="{00000000-0005-0000-0000-000027070000}"/>
    <cellStyle name="Normal 9 8" xfId="1825" xr:uid="{00000000-0005-0000-0000-000028070000}"/>
    <cellStyle name="Normal 9_Frz EE. RAB KEL JUWETKENONGO" xfId="1826" xr:uid="{00000000-0005-0000-0000-000029070000}"/>
    <cellStyle name="Normal 95" xfId="1827" xr:uid="{00000000-0005-0000-0000-00002A070000}"/>
    <cellStyle name="Normal02" xfId="1828" xr:uid="{00000000-0005-0000-0000-00002B070000}"/>
    <cellStyle name="Normal1" xfId="1829" xr:uid="{00000000-0005-0000-0000-00002C070000}"/>
    <cellStyle name="Normal2" xfId="1830" xr:uid="{00000000-0005-0000-0000-00002D070000}"/>
    <cellStyle name="Normal3" xfId="1831" xr:uid="{00000000-0005-0000-0000-00002E070000}"/>
    <cellStyle name="Note 10" xfId="1832" xr:uid="{00000000-0005-0000-0000-00002F070000}"/>
    <cellStyle name="Note 10 2" xfId="1833" xr:uid="{00000000-0005-0000-0000-000030070000}"/>
    <cellStyle name="Note 11" xfId="1834" xr:uid="{00000000-0005-0000-0000-000031070000}"/>
    <cellStyle name="Note 11 2" xfId="1835" xr:uid="{00000000-0005-0000-0000-000032070000}"/>
    <cellStyle name="Note 12" xfId="1836" xr:uid="{00000000-0005-0000-0000-000033070000}"/>
    <cellStyle name="Note 12 2" xfId="1837" xr:uid="{00000000-0005-0000-0000-000034070000}"/>
    <cellStyle name="Note 13" xfId="1838" xr:uid="{00000000-0005-0000-0000-000035070000}"/>
    <cellStyle name="Note 13 2" xfId="1839" xr:uid="{00000000-0005-0000-0000-000036070000}"/>
    <cellStyle name="Note 14" xfId="1840" xr:uid="{00000000-0005-0000-0000-000037070000}"/>
    <cellStyle name="Note 2" xfId="1841" xr:uid="{00000000-0005-0000-0000-000038070000}"/>
    <cellStyle name="Note 2 2" xfId="1842" xr:uid="{00000000-0005-0000-0000-000039070000}"/>
    <cellStyle name="Note 3" xfId="1843" xr:uid="{00000000-0005-0000-0000-00003A070000}"/>
    <cellStyle name="Note 3 2" xfId="1844" xr:uid="{00000000-0005-0000-0000-00003B070000}"/>
    <cellStyle name="Note 4" xfId="1845" xr:uid="{00000000-0005-0000-0000-00003C070000}"/>
    <cellStyle name="Note 4 2" xfId="1846" xr:uid="{00000000-0005-0000-0000-00003D070000}"/>
    <cellStyle name="Note 5" xfId="1847" xr:uid="{00000000-0005-0000-0000-00003E070000}"/>
    <cellStyle name="Note 5 2" xfId="1848" xr:uid="{00000000-0005-0000-0000-00003F070000}"/>
    <cellStyle name="Note 6" xfId="1849" xr:uid="{00000000-0005-0000-0000-000040070000}"/>
    <cellStyle name="Note 6 2" xfId="1850" xr:uid="{00000000-0005-0000-0000-000041070000}"/>
    <cellStyle name="Note 7" xfId="1851" xr:uid="{00000000-0005-0000-0000-000042070000}"/>
    <cellStyle name="Note 7 2" xfId="1852" xr:uid="{00000000-0005-0000-0000-000043070000}"/>
    <cellStyle name="Note 8" xfId="1853" xr:uid="{00000000-0005-0000-0000-000044070000}"/>
    <cellStyle name="Note 8 2" xfId="1854" xr:uid="{00000000-0005-0000-0000-000045070000}"/>
    <cellStyle name="Note 9" xfId="1855" xr:uid="{00000000-0005-0000-0000-000046070000}"/>
    <cellStyle name="Note 9 2" xfId="1856" xr:uid="{00000000-0005-0000-0000-000047070000}"/>
    <cellStyle name="Output 10" xfId="1857" xr:uid="{00000000-0005-0000-0000-000048070000}"/>
    <cellStyle name="Output 10 2" xfId="1858" xr:uid="{00000000-0005-0000-0000-000049070000}"/>
    <cellStyle name="Output 11" xfId="1859" xr:uid="{00000000-0005-0000-0000-00004A070000}"/>
    <cellStyle name="Output 11 2" xfId="1860" xr:uid="{00000000-0005-0000-0000-00004B070000}"/>
    <cellStyle name="Output 12" xfId="1861" xr:uid="{00000000-0005-0000-0000-00004C070000}"/>
    <cellStyle name="Output 12 2" xfId="1862" xr:uid="{00000000-0005-0000-0000-00004D070000}"/>
    <cellStyle name="Output 13" xfId="1863" xr:uid="{00000000-0005-0000-0000-00004E070000}"/>
    <cellStyle name="Output 13 2" xfId="1864" xr:uid="{00000000-0005-0000-0000-00004F070000}"/>
    <cellStyle name="Output 14" xfId="1865" xr:uid="{00000000-0005-0000-0000-000050070000}"/>
    <cellStyle name="Output 14 2" xfId="1866" xr:uid="{00000000-0005-0000-0000-000051070000}"/>
    <cellStyle name="Output 2" xfId="1867" xr:uid="{00000000-0005-0000-0000-000052070000}"/>
    <cellStyle name="Output 2 2" xfId="1868" xr:uid="{00000000-0005-0000-0000-000053070000}"/>
    <cellStyle name="Output 3" xfId="1869" xr:uid="{00000000-0005-0000-0000-000054070000}"/>
    <cellStyle name="Output 3 2" xfId="1870" xr:uid="{00000000-0005-0000-0000-000055070000}"/>
    <cellStyle name="Output 4" xfId="1871" xr:uid="{00000000-0005-0000-0000-000056070000}"/>
    <cellStyle name="Output 4 2" xfId="1872" xr:uid="{00000000-0005-0000-0000-000057070000}"/>
    <cellStyle name="Output 5" xfId="1873" xr:uid="{00000000-0005-0000-0000-000058070000}"/>
    <cellStyle name="Output 5 2" xfId="1874" xr:uid="{00000000-0005-0000-0000-000059070000}"/>
    <cellStyle name="Output 6" xfId="1875" xr:uid="{00000000-0005-0000-0000-00005A070000}"/>
    <cellStyle name="Output 6 2" xfId="1876" xr:uid="{00000000-0005-0000-0000-00005B070000}"/>
    <cellStyle name="Output 7" xfId="1877" xr:uid="{00000000-0005-0000-0000-00005C070000}"/>
    <cellStyle name="Output 7 2" xfId="1878" xr:uid="{00000000-0005-0000-0000-00005D070000}"/>
    <cellStyle name="Output 8" xfId="1879" xr:uid="{00000000-0005-0000-0000-00005E070000}"/>
    <cellStyle name="Output 8 2" xfId="1880" xr:uid="{00000000-0005-0000-0000-00005F070000}"/>
    <cellStyle name="Output 9" xfId="1881" xr:uid="{00000000-0005-0000-0000-000060070000}"/>
    <cellStyle name="Output 9 2" xfId="1882" xr:uid="{00000000-0005-0000-0000-000061070000}"/>
    <cellStyle name="per.style" xfId="1883" xr:uid="{00000000-0005-0000-0000-000062070000}"/>
    <cellStyle name="Percent [2]" xfId="1884" xr:uid="{00000000-0005-0000-0000-000063070000}"/>
    <cellStyle name="Percent [2] 2" xfId="1885" xr:uid="{00000000-0005-0000-0000-000064070000}"/>
    <cellStyle name="Percent [2] 3" xfId="1886" xr:uid="{00000000-0005-0000-0000-000065070000}"/>
    <cellStyle name="Percent 2" xfId="1887" xr:uid="{00000000-0005-0000-0000-000066070000}"/>
    <cellStyle name="Percent 2 2" xfId="1888" xr:uid="{00000000-0005-0000-0000-000067070000}"/>
    <cellStyle name="Percent 2 2 2" xfId="1889" xr:uid="{00000000-0005-0000-0000-000068070000}"/>
    <cellStyle name="Percent 2 3" xfId="1890" xr:uid="{00000000-0005-0000-0000-000069070000}"/>
    <cellStyle name="Percent 3" xfId="1891" xr:uid="{00000000-0005-0000-0000-00006A070000}"/>
    <cellStyle name="Percent 3 2" xfId="1892" xr:uid="{00000000-0005-0000-0000-00006B070000}"/>
    <cellStyle name="Percent 4" xfId="1893" xr:uid="{00000000-0005-0000-0000-00006C070000}"/>
    <cellStyle name="Percent 5" xfId="1894" xr:uid="{00000000-0005-0000-0000-00006D070000}"/>
    <cellStyle name="Percent 6" xfId="1895" xr:uid="{00000000-0005-0000-0000-00006E070000}"/>
    <cellStyle name="Percent 6 2" xfId="1896" xr:uid="{00000000-0005-0000-0000-00006F070000}"/>
    <cellStyle name="Percent 7" xfId="1897" xr:uid="{00000000-0005-0000-0000-000070070000}"/>
    <cellStyle name="Percent 8" xfId="1898" xr:uid="{00000000-0005-0000-0000-000071070000}"/>
    <cellStyle name="Percent 9" xfId="1899" xr:uid="{00000000-0005-0000-0000-000072070000}"/>
    <cellStyle name="PERCENTAGE" xfId="1900" xr:uid="{00000000-0005-0000-0000-000073070000}"/>
    <cellStyle name="pound_mu" xfId="1901" xr:uid="{00000000-0005-0000-0000-000074070000}"/>
    <cellStyle name="Quantité" xfId="1902" xr:uid="{00000000-0005-0000-0000-000075070000}"/>
    <cellStyle name="radika" xfId="1903" xr:uid="{00000000-0005-0000-0000-000076070000}"/>
    <cellStyle name="radikal" xfId="1904" xr:uid="{00000000-0005-0000-0000-000077070000}"/>
    <cellStyle name="regstoresfromspecstores" xfId="1905" xr:uid="{00000000-0005-0000-0000-000078070000}"/>
    <cellStyle name="Reset " xfId="1906" xr:uid="{00000000-0005-0000-0000-000079070000}"/>
    <cellStyle name="Reset  - Style7" xfId="1907" xr:uid="{00000000-0005-0000-0000-00007A070000}"/>
    <cellStyle name="RevList" xfId="1908" xr:uid="{00000000-0005-0000-0000-00007B070000}"/>
    <cellStyle name="S/Titre" xfId="1909" xr:uid="{00000000-0005-0000-0000-00007C070000}"/>
    <cellStyle name="SHADEDSTORES" xfId="1910" xr:uid="{00000000-0005-0000-0000-00007D070000}"/>
    <cellStyle name="Sheet Title" xfId="1911" xr:uid="{00000000-0005-0000-0000-00007E070000}"/>
    <cellStyle name="slo" xfId="1912" xr:uid="{00000000-0005-0000-0000-00007F070000}"/>
    <cellStyle name="specstores" xfId="1913" xr:uid="{00000000-0005-0000-0000-000080070000}"/>
    <cellStyle name="Style 1" xfId="1914" xr:uid="{00000000-0005-0000-0000-000081070000}"/>
    <cellStyle name="Subtotal" xfId="1915" xr:uid="{00000000-0005-0000-0000-000082070000}"/>
    <cellStyle name="sum" xfId="1916" xr:uid="{00000000-0005-0000-0000-000083070000}"/>
    <cellStyle name="Table " xfId="1917" xr:uid="{00000000-0005-0000-0000-000084070000}"/>
    <cellStyle name="Table  - Style6" xfId="1918" xr:uid="{00000000-0005-0000-0000-000085070000}"/>
    <cellStyle name="þ_x001d_ð+&amp;„ý›&amp;}ý_x000b__x0008__x0011__x000b_å_x000b__x0007__x0001__x0001_" xfId="1919" xr:uid="{00000000-0005-0000-0000-0000D1070000}"/>
    <cellStyle name="þ_x001d_ð+&amp;„ý›&amp;}ý_x000b__x0008__x0011__x000b_å_x000b__x0007__x0001__x0001_?_x0002_ÿÿÿÿÿÿÿÿÿÿÿÿÿÿÿ_x0001_(_x0002_{_x000c_???ˆ_x001e_ÿÿÿÿ????_x0007_???????????????Í!Ë??????????           ?????           ?????????_x000d_?????????????????????????????????????????????????????????????????????????????????????????????????????????????????????" xfId="1920" xr:uid="{00000000-0005-0000-0000-0000D2070000}"/>
    <cellStyle name="Title " xfId="1921" xr:uid="{00000000-0005-0000-0000-000086070000}"/>
    <cellStyle name="Title  - Style1" xfId="1922" xr:uid="{00000000-0005-0000-0000-000087070000}"/>
    <cellStyle name="Title _Frz EE. RAB KEL JUWETKENONGO" xfId="1923" xr:uid="{00000000-0005-0000-0000-000088070000}"/>
    <cellStyle name="Title 10" xfId="1924" xr:uid="{00000000-0005-0000-0000-000089070000}"/>
    <cellStyle name="Title 11" xfId="1925" xr:uid="{00000000-0005-0000-0000-00008A070000}"/>
    <cellStyle name="Title 12" xfId="1926" xr:uid="{00000000-0005-0000-0000-00008B070000}"/>
    <cellStyle name="Title 13" xfId="1927" xr:uid="{00000000-0005-0000-0000-00008C070000}"/>
    <cellStyle name="Title 14" xfId="1928" xr:uid="{00000000-0005-0000-0000-00008D070000}"/>
    <cellStyle name="Title 2" xfId="1929" xr:uid="{00000000-0005-0000-0000-00008E070000}"/>
    <cellStyle name="Title 3" xfId="1930" xr:uid="{00000000-0005-0000-0000-00008F070000}"/>
    <cellStyle name="Title 4" xfId="1931" xr:uid="{00000000-0005-0000-0000-000090070000}"/>
    <cellStyle name="Title 5" xfId="1932" xr:uid="{00000000-0005-0000-0000-000091070000}"/>
    <cellStyle name="Title 6" xfId="1933" xr:uid="{00000000-0005-0000-0000-000092070000}"/>
    <cellStyle name="Title 7" xfId="1934" xr:uid="{00000000-0005-0000-0000-000093070000}"/>
    <cellStyle name="Title 8" xfId="1935" xr:uid="{00000000-0005-0000-0000-000094070000}"/>
    <cellStyle name="Title 9" xfId="1936" xr:uid="{00000000-0005-0000-0000-000095070000}"/>
    <cellStyle name="Total 10" xfId="1937" xr:uid="{00000000-0005-0000-0000-000096070000}"/>
    <cellStyle name="Total 10 2" xfId="1938" xr:uid="{00000000-0005-0000-0000-000097070000}"/>
    <cellStyle name="Total 11" xfId="1939" xr:uid="{00000000-0005-0000-0000-000098070000}"/>
    <cellStyle name="Total 11 2" xfId="1940" xr:uid="{00000000-0005-0000-0000-000099070000}"/>
    <cellStyle name="Total 12" xfId="1941" xr:uid="{00000000-0005-0000-0000-00009A070000}"/>
    <cellStyle name="Total 12 2" xfId="1942" xr:uid="{00000000-0005-0000-0000-00009B070000}"/>
    <cellStyle name="Total 13" xfId="1943" xr:uid="{00000000-0005-0000-0000-00009C070000}"/>
    <cellStyle name="Total 13 2" xfId="1944" xr:uid="{00000000-0005-0000-0000-00009D070000}"/>
    <cellStyle name="Total 14" xfId="1945" xr:uid="{00000000-0005-0000-0000-00009E070000}"/>
    <cellStyle name="Total 14 2" xfId="1946" xr:uid="{00000000-0005-0000-0000-00009F070000}"/>
    <cellStyle name="Total 14_Harga Barang dan Bahan_2012" xfId="1947" xr:uid="{00000000-0005-0000-0000-0000A0070000}"/>
    <cellStyle name="Total 15" xfId="1948" xr:uid="{00000000-0005-0000-0000-0000A1070000}"/>
    <cellStyle name="Total 16" xfId="1949" xr:uid="{00000000-0005-0000-0000-0000A2070000}"/>
    <cellStyle name="Total 17" xfId="1950" xr:uid="{00000000-0005-0000-0000-0000A3070000}"/>
    <cellStyle name="Total 18" xfId="1951" xr:uid="{00000000-0005-0000-0000-0000A4070000}"/>
    <cellStyle name="Total 19" xfId="1952" xr:uid="{00000000-0005-0000-0000-0000A5070000}"/>
    <cellStyle name="Total 2" xfId="1953" xr:uid="{00000000-0005-0000-0000-0000A6070000}"/>
    <cellStyle name="Total 2 2" xfId="1954" xr:uid="{00000000-0005-0000-0000-0000A7070000}"/>
    <cellStyle name="Total 20" xfId="1955" xr:uid="{00000000-0005-0000-0000-0000A8070000}"/>
    <cellStyle name="Total 21" xfId="1956" xr:uid="{00000000-0005-0000-0000-0000A9070000}"/>
    <cellStyle name="Total 22" xfId="1957" xr:uid="{00000000-0005-0000-0000-0000AA070000}"/>
    <cellStyle name="Total 23" xfId="1958" xr:uid="{00000000-0005-0000-0000-0000AB070000}"/>
    <cellStyle name="Total 24" xfId="1959" xr:uid="{00000000-0005-0000-0000-0000AC070000}"/>
    <cellStyle name="Total 25" xfId="1960" xr:uid="{00000000-0005-0000-0000-0000AD070000}"/>
    <cellStyle name="Total 26" xfId="1961" xr:uid="{00000000-0005-0000-0000-0000AE070000}"/>
    <cellStyle name="Total 27" xfId="1962" xr:uid="{00000000-0005-0000-0000-0000AF070000}"/>
    <cellStyle name="Total 3" xfId="1963" xr:uid="{00000000-0005-0000-0000-0000B0070000}"/>
    <cellStyle name="Total 3 2" xfId="1964" xr:uid="{00000000-0005-0000-0000-0000B1070000}"/>
    <cellStyle name="Total 4" xfId="1965" xr:uid="{00000000-0005-0000-0000-0000B2070000}"/>
    <cellStyle name="Total 4 2" xfId="1966" xr:uid="{00000000-0005-0000-0000-0000B3070000}"/>
    <cellStyle name="Total 5" xfId="1967" xr:uid="{00000000-0005-0000-0000-0000B4070000}"/>
    <cellStyle name="Total 5 2" xfId="1968" xr:uid="{00000000-0005-0000-0000-0000B5070000}"/>
    <cellStyle name="Total 6" xfId="1969" xr:uid="{00000000-0005-0000-0000-0000B6070000}"/>
    <cellStyle name="Total 6 2" xfId="1970" xr:uid="{00000000-0005-0000-0000-0000B7070000}"/>
    <cellStyle name="Total 7" xfId="1971" xr:uid="{00000000-0005-0000-0000-0000B8070000}"/>
    <cellStyle name="Total 7 2" xfId="1972" xr:uid="{00000000-0005-0000-0000-0000B9070000}"/>
    <cellStyle name="Total 8" xfId="1973" xr:uid="{00000000-0005-0000-0000-0000BA070000}"/>
    <cellStyle name="Total 8 2" xfId="1974" xr:uid="{00000000-0005-0000-0000-0000BB070000}"/>
    <cellStyle name="Total 9" xfId="1975" xr:uid="{00000000-0005-0000-0000-0000BC070000}"/>
    <cellStyle name="Total 9 2" xfId="1976" xr:uid="{00000000-0005-0000-0000-0000BD070000}"/>
    <cellStyle name="TotCol" xfId="1977" xr:uid="{00000000-0005-0000-0000-0000BE070000}"/>
    <cellStyle name="TotCol - Style5" xfId="1978" xr:uid="{00000000-0005-0000-0000-0000BF070000}"/>
    <cellStyle name="TotRow" xfId="1979" xr:uid="{00000000-0005-0000-0000-0000C0070000}"/>
    <cellStyle name="TotRow - Style4" xfId="1980" xr:uid="{00000000-0005-0000-0000-0000C1070000}"/>
    <cellStyle name="Unit" xfId="1981" xr:uid="{00000000-0005-0000-0000-0000C2070000}"/>
    <cellStyle name="User_Defined_A" xfId="1982" xr:uid="{00000000-0005-0000-0000-0000C3070000}"/>
    <cellStyle name="Warning Text 10" xfId="1983" xr:uid="{00000000-0005-0000-0000-0000C4070000}"/>
    <cellStyle name="Warning Text 11" xfId="1984" xr:uid="{00000000-0005-0000-0000-0000C5070000}"/>
    <cellStyle name="Warning Text 12" xfId="1985" xr:uid="{00000000-0005-0000-0000-0000C6070000}"/>
    <cellStyle name="Warning Text 13" xfId="1986" xr:uid="{00000000-0005-0000-0000-0000C7070000}"/>
    <cellStyle name="Warning Text 14" xfId="1987" xr:uid="{00000000-0005-0000-0000-0000C8070000}"/>
    <cellStyle name="Warning Text 2" xfId="1988" xr:uid="{00000000-0005-0000-0000-0000C9070000}"/>
    <cellStyle name="Warning Text 3" xfId="1989" xr:uid="{00000000-0005-0000-0000-0000CA070000}"/>
    <cellStyle name="Warning Text 4" xfId="1990" xr:uid="{00000000-0005-0000-0000-0000CB070000}"/>
    <cellStyle name="Warning Text 5" xfId="1991" xr:uid="{00000000-0005-0000-0000-0000CC070000}"/>
    <cellStyle name="Warning Text 6" xfId="1992" xr:uid="{00000000-0005-0000-0000-0000CD070000}"/>
    <cellStyle name="Warning Text 7" xfId="1993" xr:uid="{00000000-0005-0000-0000-0000CE070000}"/>
    <cellStyle name="Warning Text 8" xfId="1994" xr:uid="{00000000-0005-0000-0000-0000CF070000}"/>
    <cellStyle name="Warning Text 9" xfId="1995" xr:uid="{00000000-0005-0000-0000-0000D0070000}"/>
    <cellStyle name="เครื่องหมายจุลภาค [0]_N1222H#" xfId="1996" xr:uid="{00000000-0005-0000-0000-0000D3070000}"/>
    <cellStyle name="เครื่องหมายจุลภาค_N1222H#" xfId="1997" xr:uid="{00000000-0005-0000-0000-0000D4070000}"/>
    <cellStyle name="เครื่องหมายสกุลเงิน [0]_N1222H#" xfId="1998" xr:uid="{00000000-0005-0000-0000-0000D5070000}"/>
    <cellStyle name="เครื่องหมายสกุลเงิน_N1222H#" xfId="1999" xr:uid="{00000000-0005-0000-0000-0000D6070000}"/>
    <cellStyle name="ปกติ_N1222H#" xfId="2000" xr:uid="{00000000-0005-0000-0000-0000D7070000}"/>
    <cellStyle name="똿뗦먛귟 [0.00]_PRODUCT DETAIL Q1" xfId="2001" xr:uid="{00000000-0005-0000-0000-0000D8070000}"/>
    <cellStyle name="똿뗦먛귟_PRODUCT DETAIL Q1" xfId="2002" xr:uid="{00000000-0005-0000-0000-0000D9070000}"/>
    <cellStyle name="믅됞 [0.00]_PRODUCT DETAIL Q1" xfId="2003" xr:uid="{00000000-0005-0000-0000-0000DA070000}"/>
    <cellStyle name="믅됞_PRODUCT DETAIL Q1" xfId="2004" xr:uid="{00000000-0005-0000-0000-0000DB070000}"/>
    <cellStyle name="백분율_HOBONG" xfId="2005" xr:uid="{00000000-0005-0000-0000-0000DC070000}"/>
    <cellStyle name="뷭?_BOOKSHIP" xfId="2006" xr:uid="{00000000-0005-0000-0000-0000DD070000}"/>
    <cellStyle name="콤마 [0]_1202" xfId="2007" xr:uid="{00000000-0005-0000-0000-0000DE070000}"/>
    <cellStyle name="콤마_1202" xfId="2008" xr:uid="{00000000-0005-0000-0000-0000DF070000}"/>
    <cellStyle name="통화 [0]_1202" xfId="2009" xr:uid="{00000000-0005-0000-0000-0000E0070000}"/>
    <cellStyle name="통화_1202" xfId="2010" xr:uid="{00000000-0005-0000-0000-0000E1070000}"/>
    <cellStyle name="표준_(정보부문)월별인원계획" xfId="2011" xr:uid="{00000000-0005-0000-0000-0000E2070000}"/>
    <cellStyle name="一般_17 JAN" xfId="2012" xr:uid="{00000000-0005-0000-0000-0000E3070000}"/>
    <cellStyle name="千分位[0]_17 JAN" xfId="2013" xr:uid="{00000000-0005-0000-0000-0000E5070000}"/>
    <cellStyle name="千分位_17 JAN" xfId="2014" xr:uid="{00000000-0005-0000-0000-0000E4070000}"/>
    <cellStyle name="常规_Sheet1" xfId="2015" xr:uid="{00000000-0005-0000-0000-0000E6070000}"/>
    <cellStyle name="貨幣 [0]_17 JAN" xfId="2016" xr:uid="{00000000-0005-0000-0000-0000E7070000}"/>
    <cellStyle name="貨幣[0]_pldt" xfId="2017" xr:uid="{00000000-0005-0000-0000-0000E9070000}"/>
    <cellStyle name="貨幣_17 JAN" xfId="2018" xr:uid="{00000000-0005-0000-0000-0000E807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20CE-8A36-42E3-89F8-C5021282157B}">
  <dimension ref="B2:W171"/>
  <sheetViews>
    <sheetView topLeftCell="A6" zoomScale="68" zoomScaleNormal="68" zoomScalePageLayoutView="85" workbookViewId="0">
      <selection activeCell="L163" sqref="L163"/>
    </sheetView>
  </sheetViews>
  <sheetFormatPr defaultColWidth="8.81640625" defaultRowHeight="15.5"/>
  <cols>
    <col min="1" max="1" width="3.08984375" customWidth="1"/>
    <col min="2" max="2" width="5" bestFit="1" customWidth="1"/>
    <col min="3" max="3" width="48.7265625" customWidth="1"/>
    <col min="4" max="4" width="10.90625" customWidth="1"/>
    <col min="5" max="5" width="12.6328125" customWidth="1"/>
    <col min="6" max="6" width="26.90625" bestFit="1" customWidth="1"/>
    <col min="7" max="7" width="19.54296875" customWidth="1"/>
    <col min="8" max="8" width="5.54296875" customWidth="1"/>
    <col min="9" max="9" width="19.54296875" style="29" customWidth="1"/>
    <col min="10" max="10" width="19.54296875" style="100" customWidth="1"/>
    <col min="11" max="11" width="14.6328125" style="100" bestFit="1" customWidth="1"/>
    <col min="12" max="12" width="16" style="100" customWidth="1"/>
    <col min="13" max="13" width="8.90625" style="100" bestFit="1" customWidth="1"/>
    <col min="14" max="14" width="14.54296875" style="100" bestFit="1" customWidth="1"/>
    <col min="15" max="15" width="16.54296875" style="100" customWidth="1"/>
    <col min="16" max="17" width="8.81640625" style="100"/>
    <col min="18" max="18" width="15.7265625" style="103" customWidth="1"/>
    <col min="20" max="20" width="18" customWidth="1"/>
    <col min="22" max="22" width="16.1796875" customWidth="1"/>
    <col min="23" max="23" width="13.7265625" customWidth="1"/>
  </cols>
  <sheetData>
    <row r="2" spans="2:17">
      <c r="B2" s="192" t="s">
        <v>0</v>
      </c>
      <c r="C2" s="192"/>
      <c r="D2" s="192"/>
      <c r="E2" s="192"/>
      <c r="F2" s="192"/>
      <c r="G2" s="192"/>
      <c r="H2" s="55"/>
      <c r="I2" s="55"/>
      <c r="J2" s="152"/>
    </row>
    <row r="3" spans="2:17">
      <c r="B3" s="192" t="s">
        <v>101</v>
      </c>
      <c r="C3" s="192"/>
      <c r="D3" s="192"/>
      <c r="E3" s="192"/>
      <c r="F3" s="192"/>
      <c r="G3" s="192"/>
      <c r="H3" s="55"/>
      <c r="I3" s="55"/>
      <c r="J3" s="152"/>
    </row>
    <row r="4" spans="2:17">
      <c r="B4" s="55"/>
      <c r="C4" s="55"/>
      <c r="D4" s="55"/>
      <c r="E4" s="55"/>
      <c r="F4" s="55"/>
      <c r="G4" s="55"/>
      <c r="H4" s="55"/>
      <c r="I4" s="55"/>
      <c r="J4" s="152"/>
    </row>
    <row r="5" spans="2:17">
      <c r="B5" s="3" t="s">
        <v>1</v>
      </c>
      <c r="C5" s="4" t="s">
        <v>146</v>
      </c>
      <c r="D5" s="5"/>
      <c r="E5" s="5"/>
      <c r="F5" s="5"/>
      <c r="G5" s="6" t="s">
        <v>78</v>
      </c>
      <c r="H5" s="128"/>
      <c r="I5" s="128"/>
      <c r="J5" s="152"/>
    </row>
    <row r="6" spans="2:17">
      <c r="B6" s="189" t="s">
        <v>109</v>
      </c>
      <c r="C6" s="190"/>
      <c r="D6" s="190"/>
      <c r="E6" s="190"/>
      <c r="F6" s="190"/>
      <c r="G6" s="191"/>
      <c r="H6" s="129"/>
      <c r="I6" s="188" t="s">
        <v>156</v>
      </c>
      <c r="J6" s="188"/>
      <c r="K6" s="188"/>
      <c r="L6" s="137" t="s">
        <v>10</v>
      </c>
    </row>
    <row r="7" spans="2:17">
      <c r="B7" s="7" t="s">
        <v>3</v>
      </c>
      <c r="C7" s="7" t="s">
        <v>4</v>
      </c>
      <c r="D7" s="8" t="s">
        <v>5</v>
      </c>
      <c r="E7" s="9" t="s">
        <v>6</v>
      </c>
      <c r="F7" s="7" t="s">
        <v>7</v>
      </c>
      <c r="G7" s="7" t="s">
        <v>8</v>
      </c>
      <c r="H7" s="130"/>
      <c r="I7" s="130" t="s">
        <v>157</v>
      </c>
      <c r="J7" s="138" t="s">
        <v>158</v>
      </c>
      <c r="K7" s="138" t="s">
        <v>159</v>
      </c>
      <c r="L7" s="138"/>
    </row>
    <row r="8" spans="2:17">
      <c r="B8" s="10">
        <v>1</v>
      </c>
      <c r="C8" s="11" t="s">
        <v>58</v>
      </c>
      <c r="D8" s="12" t="s">
        <v>9</v>
      </c>
      <c r="E8" s="13">
        <v>10000</v>
      </c>
      <c r="F8" s="64">
        <v>10000</v>
      </c>
      <c r="G8" s="150">
        <f>F8*E8</f>
        <v>100000000</v>
      </c>
      <c r="H8" s="131"/>
      <c r="I8" s="131">
        <f>5000*F8</f>
        <v>50000000</v>
      </c>
      <c r="J8" s="153">
        <f>5000*F8</f>
        <v>50000000</v>
      </c>
      <c r="L8" s="137">
        <f>I8+J8+K8</f>
        <v>100000000</v>
      </c>
    </row>
    <row r="9" spans="2:17">
      <c r="B9" s="10">
        <v>2</v>
      </c>
      <c r="C9" s="11" t="s">
        <v>77</v>
      </c>
      <c r="D9" s="12" t="s">
        <v>9</v>
      </c>
      <c r="E9" s="13">
        <v>15000</v>
      </c>
      <c r="F9" s="64">
        <v>7000</v>
      </c>
      <c r="G9" s="150">
        <f>F9*E9</f>
        <v>105000000</v>
      </c>
      <c r="H9" s="131"/>
      <c r="I9" s="131"/>
      <c r="J9" s="153"/>
      <c r="L9" s="137">
        <f t="shared" ref="L9:L17" si="0">I9+J9+K9</f>
        <v>0</v>
      </c>
    </row>
    <row r="10" spans="2:17">
      <c r="B10" s="193" t="s">
        <v>10</v>
      </c>
      <c r="C10" s="194"/>
      <c r="D10" s="194"/>
      <c r="E10" s="194"/>
      <c r="F10" s="195"/>
      <c r="G10" s="15">
        <f>SUM(G8:G9)</f>
        <v>205000000</v>
      </c>
      <c r="H10" s="132"/>
      <c r="I10" s="140">
        <f>I12/F9</f>
        <v>6000</v>
      </c>
      <c r="J10" s="154">
        <f>J12/F9</f>
        <v>4500</v>
      </c>
      <c r="K10" s="141">
        <f>K12/F9</f>
        <v>4500</v>
      </c>
      <c r="L10" s="137">
        <f t="shared" si="0"/>
        <v>15000</v>
      </c>
    </row>
    <row r="11" spans="2:17">
      <c r="B11" s="189" t="s">
        <v>11</v>
      </c>
      <c r="C11" s="190"/>
      <c r="D11" s="190"/>
      <c r="E11" s="190"/>
      <c r="F11" s="190"/>
      <c r="G11" s="191"/>
      <c r="H11" s="129"/>
      <c r="I11" s="129"/>
      <c r="J11" s="155"/>
      <c r="L11" s="137">
        <f t="shared" si="0"/>
        <v>0</v>
      </c>
    </row>
    <row r="12" spans="2:17">
      <c r="B12" s="7" t="s">
        <v>3</v>
      </c>
      <c r="C12" s="7" t="s">
        <v>4</v>
      </c>
      <c r="D12" s="7" t="s">
        <v>5</v>
      </c>
      <c r="E12" s="9" t="s">
        <v>6</v>
      </c>
      <c r="F12" s="7" t="s">
        <v>7</v>
      </c>
      <c r="G12" s="7" t="s">
        <v>8</v>
      </c>
      <c r="H12" s="130"/>
      <c r="I12" s="139">
        <f>G9*40%</f>
        <v>42000000</v>
      </c>
      <c r="J12" s="138">
        <f>G9*30%</f>
        <v>31500000</v>
      </c>
      <c r="K12" s="137">
        <f>G9*30%</f>
        <v>31500000</v>
      </c>
      <c r="L12" s="137">
        <f>I12+J12+K12</f>
        <v>105000000</v>
      </c>
      <c r="N12" s="100">
        <f>SUM(I12:K12)</f>
        <v>105000000</v>
      </c>
    </row>
    <row r="13" spans="2:17">
      <c r="B13" s="16">
        <v>1</v>
      </c>
      <c r="C13" s="12" t="s">
        <v>33</v>
      </c>
      <c r="D13" s="17" t="s">
        <v>9</v>
      </c>
      <c r="E13" s="13">
        <v>25000</v>
      </c>
      <c r="F13" s="121">
        <v>700</v>
      </c>
      <c r="G13" s="14">
        <f>F13*E13</f>
        <v>17500000</v>
      </c>
      <c r="H13" s="131"/>
      <c r="I13" s="131"/>
      <c r="J13" s="153"/>
      <c r="L13" s="137">
        <f t="shared" si="0"/>
        <v>0</v>
      </c>
    </row>
    <row r="14" spans="2:17" ht="31">
      <c r="B14" s="16">
        <v>2</v>
      </c>
      <c r="C14" s="18" t="s">
        <v>102</v>
      </c>
      <c r="D14" s="19" t="s">
        <v>14</v>
      </c>
      <c r="E14" s="20">
        <v>1</v>
      </c>
      <c r="F14" s="69">
        <v>2000000</v>
      </c>
      <c r="G14" s="147">
        <f>F14*E14</f>
        <v>2000000</v>
      </c>
      <c r="H14" s="131"/>
      <c r="I14" s="131"/>
      <c r="J14" s="153">
        <f>G8-2000</f>
        <v>99998000</v>
      </c>
      <c r="K14" s="149">
        <f>J14+G9+G16+G24</f>
        <v>259458000</v>
      </c>
      <c r="L14" s="137">
        <f t="shared" si="0"/>
        <v>359456000</v>
      </c>
    </row>
    <row r="15" spans="2:17" s="103" customFormat="1">
      <c r="B15" s="16">
        <v>3</v>
      </c>
      <c r="C15" s="22" t="s">
        <v>79</v>
      </c>
      <c r="D15" s="19" t="s">
        <v>82</v>
      </c>
      <c r="E15" s="20">
        <v>32</v>
      </c>
      <c r="F15" s="21">
        <v>30000</v>
      </c>
      <c r="G15" s="147">
        <f>F15*E15</f>
        <v>960000</v>
      </c>
      <c r="H15" s="131"/>
      <c r="I15" s="131">
        <f>G8+G9+G13</f>
        <v>222500000</v>
      </c>
      <c r="J15" s="153"/>
      <c r="K15" s="100"/>
      <c r="L15" s="137">
        <f t="shared" si="0"/>
        <v>222500000</v>
      </c>
      <c r="M15" s="100"/>
      <c r="N15" s="100"/>
      <c r="O15" s="100"/>
      <c r="P15" s="100"/>
      <c r="Q15" s="100"/>
    </row>
    <row r="16" spans="2:17" s="103" customFormat="1">
      <c r="B16" s="196" t="s">
        <v>10</v>
      </c>
      <c r="C16" s="197"/>
      <c r="D16" s="197"/>
      <c r="E16" s="197"/>
      <c r="F16" s="198"/>
      <c r="G16" s="23">
        <f>SUM(G13:G15)</f>
        <v>20460000</v>
      </c>
      <c r="H16" s="133"/>
      <c r="I16" s="133"/>
      <c r="J16" s="156"/>
      <c r="K16" s="100"/>
      <c r="L16" s="137">
        <f t="shared" si="0"/>
        <v>0</v>
      </c>
      <c r="M16" s="100"/>
      <c r="N16" s="100"/>
      <c r="O16" s="100"/>
      <c r="P16" s="100"/>
      <c r="Q16" s="100"/>
    </row>
    <row r="17" spans="2:23" s="103" customFormat="1">
      <c r="B17" s="48"/>
      <c r="C17" s="49"/>
      <c r="D17" s="49"/>
      <c r="E17" s="49"/>
      <c r="F17" s="49"/>
      <c r="G17" s="66"/>
      <c r="H17" s="133"/>
      <c r="I17" s="133"/>
      <c r="J17" s="156"/>
      <c r="K17" s="100"/>
      <c r="L17" s="137">
        <f t="shared" si="0"/>
        <v>0</v>
      </c>
      <c r="M17" s="100"/>
      <c r="N17" s="100"/>
      <c r="O17" s="100"/>
      <c r="P17" s="100"/>
      <c r="Q17" s="100"/>
    </row>
    <row r="18" spans="2:23" s="103" customFormat="1">
      <c r="B18" s="189" t="s">
        <v>110</v>
      </c>
      <c r="C18" s="190"/>
      <c r="D18" s="190"/>
      <c r="E18" s="190"/>
      <c r="F18" s="190"/>
      <c r="G18" s="191"/>
      <c r="H18" s="129"/>
      <c r="I18" s="129"/>
      <c r="J18" s="155"/>
      <c r="K18" s="100"/>
      <c r="L18" s="100"/>
      <c r="M18" s="100"/>
      <c r="N18" s="100"/>
      <c r="O18" s="100"/>
      <c r="P18" s="100"/>
      <c r="Q18" s="100"/>
    </row>
    <row r="19" spans="2:23" s="103" customFormat="1">
      <c r="B19" s="24" t="s">
        <v>3</v>
      </c>
      <c r="C19" s="24" t="s">
        <v>4</v>
      </c>
      <c r="D19" s="24" t="s">
        <v>59</v>
      </c>
      <c r="E19" s="24" t="s">
        <v>60</v>
      </c>
      <c r="F19" s="24" t="s">
        <v>16</v>
      </c>
      <c r="G19" s="7" t="s">
        <v>8</v>
      </c>
      <c r="H19" s="130"/>
      <c r="I19" s="130"/>
      <c r="J19" s="138"/>
      <c r="K19" s="100"/>
      <c r="L19" s="100"/>
      <c r="M19" s="100"/>
      <c r="N19" s="100"/>
      <c r="O19" s="138" t="s">
        <v>154</v>
      </c>
      <c r="P19" s="138"/>
      <c r="Q19" s="138"/>
      <c r="R19" s="123" t="s">
        <v>151</v>
      </c>
      <c r="S19" s="123"/>
      <c r="T19" s="123" t="s">
        <v>152</v>
      </c>
      <c r="U19" s="123"/>
      <c r="V19" s="123" t="s">
        <v>153</v>
      </c>
      <c r="W19" s="103">
        <v>54000000</v>
      </c>
    </row>
    <row r="20" spans="2:23" s="103" customFormat="1">
      <c r="B20" s="25">
        <v>1</v>
      </c>
      <c r="C20" s="19" t="s">
        <v>155</v>
      </c>
      <c r="D20" s="25">
        <v>20</v>
      </c>
      <c r="E20" s="125">
        <v>1</v>
      </c>
      <c r="F20" s="124">
        <v>100000</v>
      </c>
      <c r="G20" s="126">
        <f>D20*E20*F20</f>
        <v>2000000</v>
      </c>
      <c r="H20" s="134"/>
      <c r="I20" s="134"/>
      <c r="J20" s="157">
        <f>D20*E20</f>
        <v>20</v>
      </c>
      <c r="K20" s="100"/>
      <c r="L20" s="100"/>
      <c r="M20" s="100"/>
      <c r="N20" s="100"/>
      <c r="O20" s="138"/>
      <c r="P20" s="138"/>
      <c r="Q20" s="138"/>
      <c r="R20" s="123"/>
      <c r="S20" s="123"/>
      <c r="T20" s="123"/>
      <c r="U20" s="123"/>
      <c r="V20" s="123"/>
    </row>
    <row r="21" spans="2:23" s="103" customFormat="1">
      <c r="B21" s="16">
        <v>2</v>
      </c>
      <c r="C21" s="12" t="s">
        <v>55</v>
      </c>
      <c r="D21" s="25">
        <v>40</v>
      </c>
      <c r="E21" s="28">
        <v>2</v>
      </c>
      <c r="F21" s="122">
        <v>100000</v>
      </c>
      <c r="G21" s="27">
        <f>F21*E21*D21</f>
        <v>8000000</v>
      </c>
      <c r="H21" s="135"/>
      <c r="I21" s="135"/>
      <c r="J21" s="157">
        <f>D21*E21</f>
        <v>80</v>
      </c>
      <c r="K21" s="100"/>
      <c r="L21" s="100"/>
      <c r="M21" s="100"/>
      <c r="N21" s="100" t="s">
        <v>149</v>
      </c>
      <c r="O21" s="100" t="s">
        <v>150</v>
      </c>
      <c r="P21" s="100"/>
      <c r="Q21" s="100"/>
      <c r="R21" s="103">
        <v>10000</v>
      </c>
    </row>
    <row r="22" spans="2:23" s="103" customFormat="1">
      <c r="B22" s="25">
        <v>3</v>
      </c>
      <c r="C22" s="68" t="s">
        <v>61</v>
      </c>
      <c r="D22" s="25">
        <v>40</v>
      </c>
      <c r="E22" s="28">
        <v>5</v>
      </c>
      <c r="F22" s="122">
        <v>100000</v>
      </c>
      <c r="G22" s="27">
        <f>F22*E22*D22</f>
        <v>20000000</v>
      </c>
      <c r="H22" s="135"/>
      <c r="I22" s="135"/>
      <c r="J22" s="157">
        <f>D22*E22</f>
        <v>200</v>
      </c>
      <c r="K22" s="100"/>
      <c r="L22" s="100"/>
      <c r="M22" s="100"/>
      <c r="N22" s="100">
        <v>6</v>
      </c>
      <c r="O22" s="100">
        <v>60</v>
      </c>
      <c r="P22" s="100">
        <v>125</v>
      </c>
      <c r="Q22" s="100"/>
    </row>
    <row r="23" spans="2:23" s="103" customFormat="1">
      <c r="B23" s="16">
        <v>4</v>
      </c>
      <c r="C23" s="18" t="s">
        <v>62</v>
      </c>
      <c r="D23" s="25">
        <v>40</v>
      </c>
      <c r="E23" s="39">
        <v>1</v>
      </c>
      <c r="F23" s="122">
        <v>100000</v>
      </c>
      <c r="G23" s="27">
        <f>F23*E23*D23</f>
        <v>4000000</v>
      </c>
      <c r="H23" s="135"/>
      <c r="I23" s="135"/>
      <c r="J23" s="157">
        <f>D23*E23</f>
        <v>40</v>
      </c>
      <c r="K23" s="100"/>
      <c r="L23" s="100"/>
      <c r="M23" s="100"/>
      <c r="N23" s="100"/>
      <c r="O23" s="100"/>
      <c r="P23" s="100">
        <f>O22*P22</f>
        <v>7500</v>
      </c>
      <c r="Q23" s="100"/>
    </row>
    <row r="24" spans="2:23" s="103" customFormat="1">
      <c r="B24" s="50" t="s">
        <v>10</v>
      </c>
      <c r="C24" s="51"/>
      <c r="D24" s="51"/>
      <c r="E24" s="51"/>
      <c r="F24" s="51"/>
      <c r="G24" s="67">
        <f>SUM(G20:G23)</f>
        <v>34000000</v>
      </c>
      <c r="H24" s="136"/>
      <c r="I24" s="151">
        <f>G16+G24</f>
        <v>54460000</v>
      </c>
      <c r="J24" s="156">
        <f>SUM(J20:J23)</f>
        <v>340</v>
      </c>
      <c r="K24" s="100" t="s">
        <v>19</v>
      </c>
      <c r="L24" s="100"/>
      <c r="M24" s="100"/>
      <c r="N24" s="100"/>
      <c r="O24" s="100"/>
      <c r="P24" s="100"/>
      <c r="Q24" s="100"/>
    </row>
    <row r="25" spans="2:23" s="103" customFormat="1" ht="15.5" hidden="1" customHeight="1">
      <c r="B25" s="29"/>
      <c r="C25" s="29"/>
      <c r="D25" s="29"/>
      <c r="E25" s="29"/>
      <c r="F25" s="29"/>
      <c r="G25" s="29"/>
      <c r="H25" s="29"/>
      <c r="I25" s="29"/>
      <c r="J25" s="100"/>
      <c r="K25" s="100"/>
      <c r="L25" s="100"/>
      <c r="M25" s="100"/>
      <c r="N25" s="100"/>
      <c r="O25" s="100"/>
      <c r="P25" s="100"/>
      <c r="Q25" s="100"/>
    </row>
    <row r="26" spans="2:23" s="103" customFormat="1" ht="15.5" hidden="1" customHeight="1">
      <c r="B26" s="29"/>
      <c r="C26" s="29"/>
      <c r="D26" s="29"/>
      <c r="E26" s="29"/>
      <c r="F26" s="29"/>
      <c r="G26" s="29"/>
      <c r="H26" s="29"/>
      <c r="I26" s="29"/>
      <c r="J26" s="100"/>
      <c r="K26" s="100"/>
      <c r="L26" s="100"/>
      <c r="M26" s="100"/>
      <c r="N26" s="100"/>
      <c r="O26" s="100"/>
      <c r="P26" s="100"/>
      <c r="Q26" s="100"/>
    </row>
    <row r="27" spans="2:23" s="103" customFormat="1" ht="15.5" hidden="1" customHeight="1">
      <c r="B27" s="52" t="s">
        <v>23</v>
      </c>
      <c r="C27" s="52"/>
      <c r="D27" s="29"/>
      <c r="E27" s="29"/>
      <c r="F27" s="29"/>
      <c r="G27" s="29"/>
      <c r="H27" s="29"/>
      <c r="I27" s="29"/>
      <c r="J27" s="100"/>
      <c r="K27" s="100"/>
      <c r="L27" s="100"/>
      <c r="M27" s="100"/>
      <c r="N27" s="100"/>
      <c r="O27" s="100"/>
      <c r="P27" s="100"/>
      <c r="Q27" s="100"/>
    </row>
    <row r="28" spans="2:23" s="103" customFormat="1" ht="31.25" hidden="1" customHeight="1">
      <c r="B28" s="30" t="s">
        <v>3</v>
      </c>
      <c r="C28" s="30" t="s">
        <v>4</v>
      </c>
      <c r="D28" s="31" t="s">
        <v>5</v>
      </c>
      <c r="E28" s="32" t="s">
        <v>24</v>
      </c>
      <c r="F28" s="54"/>
      <c r="G28" s="29"/>
      <c r="H28" s="29"/>
      <c r="I28" s="29"/>
      <c r="J28" s="100"/>
      <c r="K28" s="100"/>
      <c r="L28" s="100"/>
      <c r="M28" s="100"/>
      <c r="N28" s="100"/>
      <c r="O28" s="100"/>
      <c r="P28" s="100"/>
      <c r="Q28" s="100"/>
    </row>
    <row r="29" spans="2:23" s="103" customFormat="1" ht="15.5" hidden="1" customHeight="1">
      <c r="B29" s="30" t="s">
        <v>17</v>
      </c>
      <c r="C29" s="33" t="s">
        <v>18</v>
      </c>
      <c r="D29" s="31"/>
      <c r="E29" s="24"/>
      <c r="F29" s="55"/>
      <c r="G29" s="29"/>
      <c r="H29" s="29"/>
      <c r="I29" s="29"/>
      <c r="J29" s="100"/>
      <c r="K29" s="100"/>
      <c r="L29" s="100"/>
      <c r="M29" s="100"/>
      <c r="N29" s="100"/>
      <c r="O29" s="100"/>
      <c r="P29" s="100"/>
      <c r="Q29" s="100"/>
    </row>
    <row r="30" spans="2:23" s="103" customFormat="1" ht="15.5" hidden="1" customHeight="1">
      <c r="B30" s="34">
        <v>1</v>
      </c>
      <c r="C30" s="35" t="s">
        <v>25</v>
      </c>
      <c r="D30" s="36" t="s">
        <v>19</v>
      </c>
      <c r="E30" s="37">
        <v>2</v>
      </c>
      <c r="F30" s="56"/>
      <c r="G30" s="29"/>
      <c r="H30" s="29"/>
      <c r="I30" s="29"/>
      <c r="J30" s="100"/>
      <c r="K30" s="100"/>
      <c r="L30" s="100"/>
      <c r="M30" s="100"/>
      <c r="N30" s="100"/>
      <c r="O30" s="100"/>
      <c r="P30" s="100"/>
      <c r="Q30" s="100"/>
    </row>
    <row r="31" spans="2:23" s="103" customFormat="1" ht="15.5" hidden="1" customHeight="1">
      <c r="B31" s="34">
        <v>2</v>
      </c>
      <c r="C31" s="38" t="s">
        <v>26</v>
      </c>
      <c r="D31" s="36" t="s">
        <v>19</v>
      </c>
      <c r="E31" s="39">
        <v>12</v>
      </c>
      <c r="F31" s="57"/>
      <c r="G31" s="29"/>
      <c r="H31" s="29"/>
      <c r="I31" s="29"/>
      <c r="J31" s="100"/>
      <c r="K31" s="100"/>
      <c r="L31" s="100"/>
      <c r="M31" s="100"/>
      <c r="N31" s="100"/>
      <c r="O31" s="100"/>
      <c r="P31" s="100"/>
      <c r="Q31" s="100"/>
    </row>
    <row r="32" spans="2:23" s="103" customFormat="1" ht="15.5" hidden="1" customHeight="1">
      <c r="B32" s="34">
        <v>3</v>
      </c>
      <c r="C32" s="40" t="s">
        <v>27</v>
      </c>
      <c r="D32" s="36" t="s">
        <v>19</v>
      </c>
      <c r="E32" s="39">
        <v>14</v>
      </c>
      <c r="F32" s="57"/>
      <c r="G32" s="29"/>
      <c r="H32" s="29"/>
      <c r="I32" s="29"/>
      <c r="J32" s="100"/>
      <c r="K32" s="100"/>
      <c r="L32" s="100"/>
      <c r="M32" s="100"/>
      <c r="N32" s="100"/>
      <c r="O32" s="100"/>
      <c r="P32" s="100"/>
      <c r="Q32" s="100"/>
    </row>
    <row r="33" spans="2:17" s="103" customFormat="1" ht="15.5" hidden="1" customHeight="1">
      <c r="B33" s="41" t="s">
        <v>20</v>
      </c>
      <c r="C33" s="42" t="s">
        <v>21</v>
      </c>
      <c r="D33" s="36"/>
      <c r="E33" s="25"/>
      <c r="F33" s="58"/>
      <c r="G33" s="29"/>
      <c r="H33" s="29"/>
      <c r="I33" s="29"/>
      <c r="J33" s="100"/>
      <c r="K33" s="100"/>
      <c r="L33" s="100"/>
      <c r="M33" s="100"/>
      <c r="N33" s="100"/>
      <c r="O33" s="100"/>
      <c r="P33" s="100"/>
      <c r="Q33" s="100"/>
    </row>
    <row r="34" spans="2:17" s="103" customFormat="1" ht="15.5" hidden="1" customHeight="1">
      <c r="B34" s="34">
        <v>1</v>
      </c>
      <c r="C34" s="43" t="s">
        <v>31</v>
      </c>
      <c r="D34" s="36" t="s">
        <v>19</v>
      </c>
      <c r="E34" s="39">
        <v>30</v>
      </c>
      <c r="F34" s="57"/>
      <c r="G34" s="29"/>
      <c r="H34" s="29"/>
      <c r="I34" s="29"/>
      <c r="J34" s="100"/>
      <c r="K34" s="100"/>
      <c r="L34" s="100"/>
      <c r="M34" s="100"/>
      <c r="N34" s="100"/>
      <c r="O34" s="100"/>
      <c r="P34" s="100"/>
      <c r="Q34" s="100"/>
    </row>
    <row r="35" spans="2:17" s="103" customFormat="1" ht="15.5" hidden="1" customHeight="1">
      <c r="B35" s="44" t="s">
        <v>22</v>
      </c>
      <c r="C35" s="45" t="s">
        <v>28</v>
      </c>
      <c r="D35" s="46" t="s">
        <v>19</v>
      </c>
      <c r="E35" s="47">
        <v>3</v>
      </c>
      <c r="F35" s="59"/>
      <c r="G35" s="29"/>
      <c r="H35" s="29"/>
      <c r="I35" s="29"/>
      <c r="J35" s="100"/>
      <c r="K35" s="100"/>
      <c r="L35" s="100"/>
      <c r="M35" s="100"/>
      <c r="N35" s="100"/>
      <c r="O35" s="100"/>
      <c r="P35" s="100"/>
      <c r="Q35" s="100"/>
    </row>
    <row r="36" spans="2:17" s="103" customFormat="1" ht="15.5" hidden="1" customHeight="1">
      <c r="B36" s="53" t="s">
        <v>29</v>
      </c>
      <c r="C36" s="53"/>
      <c r="D36" s="53"/>
      <c r="E36" s="53"/>
      <c r="F36" s="60"/>
      <c r="G36" s="29"/>
      <c r="H36" s="29"/>
      <c r="I36" s="29"/>
      <c r="J36" s="100"/>
      <c r="K36" s="100"/>
      <c r="L36" s="100"/>
      <c r="M36" s="100"/>
      <c r="N36" s="100"/>
      <c r="O36" s="100"/>
      <c r="P36" s="100"/>
      <c r="Q36" s="100"/>
    </row>
    <row r="37" spans="2:17" s="103" customFormat="1" ht="15.5" hidden="1" customHeight="1">
      <c r="B37" s="29"/>
      <c r="C37" s="29"/>
      <c r="D37" s="29"/>
      <c r="E37" s="29"/>
      <c r="F37" s="29"/>
      <c r="G37" s="29"/>
      <c r="H37" s="29"/>
      <c r="I37" s="29"/>
      <c r="J37" s="100"/>
      <c r="K37" s="100"/>
      <c r="L37" s="100"/>
      <c r="M37" s="100"/>
      <c r="N37" s="100"/>
      <c r="O37" s="100"/>
      <c r="P37" s="100"/>
      <c r="Q37" s="100"/>
    </row>
    <row r="38" spans="2:17" s="103" customFormat="1" ht="15.5" hidden="1" customHeight="1">
      <c r="B38" s="29"/>
      <c r="C38" s="29"/>
      <c r="D38" s="29"/>
      <c r="E38" s="29"/>
      <c r="F38" s="29"/>
      <c r="G38" s="29"/>
      <c r="H38" s="29"/>
      <c r="I38" s="29"/>
      <c r="J38" s="100"/>
      <c r="K38" s="100"/>
      <c r="L38" s="100"/>
      <c r="M38" s="100"/>
      <c r="N38" s="100"/>
      <c r="O38" s="100"/>
      <c r="P38" s="100"/>
      <c r="Q38" s="100"/>
    </row>
    <row r="39" spans="2:17" s="103" customFormat="1" ht="15.5" hidden="1" customHeight="1">
      <c r="B39" s="29"/>
      <c r="C39" s="29"/>
      <c r="D39" s="29"/>
      <c r="E39" s="29"/>
      <c r="F39" s="29"/>
      <c r="G39" s="29"/>
      <c r="H39" s="29"/>
      <c r="I39" s="29"/>
      <c r="J39" s="100"/>
      <c r="K39" s="100"/>
      <c r="L39" s="100"/>
      <c r="M39" s="100"/>
      <c r="N39" s="100"/>
      <c r="O39" s="100"/>
      <c r="P39" s="100"/>
      <c r="Q39" s="100"/>
    </row>
    <row r="40" spans="2:17" s="103" customFormat="1" ht="15.5" hidden="1" customHeight="1">
      <c r="B40" s="29"/>
      <c r="C40" s="29"/>
      <c r="D40" s="29"/>
      <c r="E40" s="29"/>
      <c r="F40" s="29"/>
      <c r="G40" s="29"/>
      <c r="H40" s="29"/>
      <c r="I40" s="29"/>
      <c r="J40" s="100"/>
      <c r="K40" s="100"/>
      <c r="L40" s="100"/>
      <c r="M40" s="100"/>
      <c r="N40" s="100"/>
      <c r="O40" s="100"/>
      <c r="P40" s="100"/>
      <c r="Q40" s="100"/>
    </row>
    <row r="41" spans="2:17" s="103" customFormat="1" ht="15.5" hidden="1" customHeight="1">
      <c r="B41" s="29"/>
      <c r="C41" s="29"/>
      <c r="D41" s="29"/>
      <c r="E41" s="29"/>
      <c r="F41" s="29"/>
      <c r="G41" s="29"/>
      <c r="H41" s="29"/>
      <c r="I41" s="29"/>
      <c r="J41" s="100"/>
      <c r="K41" s="100"/>
      <c r="L41" s="100"/>
      <c r="M41" s="100"/>
      <c r="N41" s="100"/>
      <c r="O41" s="100"/>
      <c r="P41" s="100"/>
      <c r="Q41" s="100"/>
    </row>
    <row r="42" spans="2:17" s="103" customFormat="1" ht="15.5" hidden="1" customHeight="1">
      <c r="B42" s="29"/>
      <c r="C42" s="29"/>
      <c r="D42" s="29"/>
      <c r="E42" s="29"/>
      <c r="F42" s="29"/>
      <c r="G42" s="29"/>
      <c r="H42" s="29"/>
      <c r="I42" s="29"/>
      <c r="J42" s="100"/>
      <c r="K42" s="100"/>
      <c r="L42" s="100"/>
      <c r="M42" s="100"/>
      <c r="N42" s="100"/>
      <c r="O42" s="100"/>
      <c r="P42" s="100"/>
      <c r="Q42" s="100"/>
    </row>
    <row r="43" spans="2:17" s="103" customFormat="1" ht="15.5" hidden="1" customHeight="1">
      <c r="B43" s="29"/>
      <c r="C43" s="29"/>
      <c r="D43" s="29"/>
      <c r="E43" s="29"/>
      <c r="F43" s="29"/>
      <c r="G43" s="29"/>
      <c r="H43" s="29"/>
      <c r="I43" s="29"/>
      <c r="J43" s="100"/>
      <c r="K43" s="100"/>
      <c r="L43" s="100"/>
      <c r="M43" s="100"/>
      <c r="N43" s="100"/>
      <c r="O43" s="100"/>
      <c r="P43" s="100"/>
      <c r="Q43" s="100"/>
    </row>
    <row r="44" spans="2:17" s="103" customFormat="1" ht="15.5" hidden="1" customHeight="1">
      <c r="B44" s="29"/>
      <c r="C44" s="29"/>
      <c r="D44" s="29"/>
      <c r="E44" s="29"/>
      <c r="F44" s="29"/>
      <c r="G44" s="29"/>
      <c r="H44" s="29"/>
      <c r="I44" s="29"/>
      <c r="J44" s="100"/>
      <c r="K44" s="100"/>
      <c r="L44" s="100"/>
      <c r="M44" s="100"/>
      <c r="N44" s="100"/>
      <c r="O44" s="100"/>
      <c r="P44" s="100"/>
      <c r="Q44" s="100"/>
    </row>
    <row r="45" spans="2:17" s="103" customFormat="1" ht="15.5" hidden="1" customHeight="1">
      <c r="B45" s="29"/>
      <c r="C45" s="29"/>
      <c r="D45" s="29"/>
      <c r="E45" s="29"/>
      <c r="F45" s="29"/>
      <c r="G45" s="29"/>
      <c r="H45" s="29"/>
      <c r="I45" s="29"/>
      <c r="J45" s="100"/>
      <c r="K45" s="100"/>
      <c r="L45" s="100"/>
      <c r="M45" s="100"/>
      <c r="N45" s="100"/>
      <c r="O45" s="100"/>
      <c r="P45" s="100"/>
      <c r="Q45" s="100"/>
    </row>
    <row r="46" spans="2:17" s="103" customFormat="1" ht="15.5" hidden="1" customHeight="1">
      <c r="B46" s="29"/>
      <c r="C46" s="29"/>
      <c r="D46" s="29"/>
      <c r="E46" s="29"/>
      <c r="F46" s="29"/>
      <c r="G46" s="29"/>
      <c r="H46" s="29"/>
      <c r="I46" s="29"/>
      <c r="J46" s="100"/>
      <c r="K46" s="100"/>
      <c r="L46" s="100"/>
      <c r="M46" s="100"/>
      <c r="N46" s="100"/>
      <c r="O46" s="100"/>
      <c r="P46" s="100"/>
      <c r="Q46" s="100"/>
    </row>
    <row r="47" spans="2:17" s="103" customFormat="1" ht="15.5" hidden="1" customHeight="1">
      <c r="B47" s="29"/>
      <c r="C47" s="29"/>
      <c r="D47" s="29"/>
      <c r="E47" s="29"/>
      <c r="F47" s="29"/>
      <c r="G47" s="29"/>
      <c r="H47" s="29"/>
      <c r="I47" s="29"/>
      <c r="J47" s="100"/>
      <c r="K47" s="100"/>
      <c r="L47" s="100"/>
      <c r="M47" s="100"/>
      <c r="N47" s="100"/>
      <c r="O47" s="100"/>
      <c r="P47" s="100"/>
      <c r="Q47" s="100"/>
    </row>
    <row r="48" spans="2:17" s="103" customFormat="1" ht="15.5" hidden="1" customHeight="1">
      <c r="B48" s="29"/>
      <c r="C48" s="29"/>
      <c r="D48" s="29"/>
      <c r="E48" s="29"/>
      <c r="F48" s="29"/>
      <c r="G48" s="29"/>
      <c r="H48" s="29"/>
      <c r="I48" s="29"/>
      <c r="J48" s="100"/>
      <c r="K48" s="100"/>
      <c r="L48" s="100"/>
      <c r="M48" s="100"/>
      <c r="N48" s="100"/>
      <c r="O48" s="100"/>
      <c r="P48" s="100"/>
      <c r="Q48" s="100"/>
    </row>
    <row r="49" spans="2:17" s="103" customFormat="1" ht="15.5" hidden="1" customHeight="1">
      <c r="B49" s="29"/>
      <c r="C49" s="29"/>
      <c r="D49" s="29"/>
      <c r="E49" s="29"/>
      <c r="F49" s="29"/>
      <c r="G49" s="29"/>
      <c r="H49" s="29"/>
      <c r="I49" s="29"/>
      <c r="J49" s="100"/>
      <c r="K49" s="100"/>
      <c r="L49" s="100"/>
      <c r="M49" s="100"/>
      <c r="N49" s="100"/>
      <c r="O49" s="100"/>
      <c r="P49" s="100"/>
      <c r="Q49" s="100"/>
    </row>
    <row r="50" spans="2:17" s="103" customFormat="1" ht="15.5" hidden="1" customHeight="1">
      <c r="B50" s="29"/>
      <c r="C50" s="29"/>
      <c r="D50" s="29"/>
      <c r="E50" s="29"/>
      <c r="F50" s="29"/>
      <c r="G50" s="29"/>
      <c r="H50" s="29"/>
      <c r="I50" s="29"/>
      <c r="J50" s="100"/>
      <c r="K50" s="100"/>
      <c r="L50" s="100"/>
      <c r="M50" s="100"/>
      <c r="N50" s="100"/>
      <c r="O50" s="100"/>
      <c r="P50" s="100"/>
      <c r="Q50" s="100"/>
    </row>
    <row r="51" spans="2:17" s="103" customFormat="1" ht="15.5" hidden="1" customHeight="1">
      <c r="B51" s="29"/>
      <c r="C51" s="29"/>
      <c r="D51" s="29"/>
      <c r="E51" s="29"/>
      <c r="F51" s="29"/>
      <c r="G51" s="29"/>
      <c r="H51" s="29"/>
      <c r="I51" s="29"/>
      <c r="J51" s="100"/>
      <c r="K51" s="100"/>
      <c r="L51" s="100"/>
      <c r="M51" s="100"/>
      <c r="N51" s="100"/>
      <c r="O51" s="100"/>
      <c r="P51" s="100"/>
      <c r="Q51" s="100"/>
    </row>
    <row r="52" spans="2:17" s="103" customFormat="1" ht="15.5" hidden="1" customHeight="1">
      <c r="B52" s="29"/>
      <c r="C52" s="29"/>
      <c r="D52" s="29"/>
      <c r="E52" s="29"/>
      <c r="F52" s="29"/>
      <c r="G52" s="29"/>
      <c r="H52" s="29"/>
      <c r="I52" s="29"/>
      <c r="J52" s="100"/>
      <c r="K52" s="100"/>
      <c r="L52" s="100"/>
      <c r="M52" s="100"/>
      <c r="N52" s="100"/>
      <c r="O52" s="100"/>
      <c r="P52" s="100"/>
      <c r="Q52" s="100"/>
    </row>
    <row r="53" spans="2:17" s="103" customFormat="1" ht="15.5" hidden="1" customHeight="1">
      <c r="B53" s="29"/>
      <c r="C53" s="29"/>
      <c r="D53" s="29"/>
      <c r="E53" s="29"/>
      <c r="F53" s="29"/>
      <c r="G53" s="29"/>
      <c r="H53" s="29"/>
      <c r="I53" s="29"/>
      <c r="J53" s="100"/>
      <c r="K53" s="100"/>
      <c r="L53" s="100"/>
      <c r="M53" s="100"/>
      <c r="N53" s="100"/>
      <c r="O53" s="100"/>
      <c r="P53" s="100"/>
      <c r="Q53" s="100"/>
    </row>
    <row r="54" spans="2:17" s="103" customFormat="1" ht="15.5" hidden="1" customHeight="1">
      <c r="B54" s="29"/>
      <c r="C54" s="29"/>
      <c r="D54" s="29"/>
      <c r="E54" s="29"/>
      <c r="F54" s="29"/>
      <c r="G54" s="29"/>
      <c r="H54" s="29"/>
      <c r="I54" s="29"/>
      <c r="J54" s="100"/>
      <c r="K54" s="100"/>
      <c r="L54" s="100"/>
      <c r="M54" s="100"/>
      <c r="N54" s="100"/>
      <c r="O54" s="100"/>
      <c r="P54" s="100"/>
      <c r="Q54" s="100"/>
    </row>
    <row r="55" spans="2:17" s="103" customFormat="1" ht="15.5" hidden="1" customHeight="1">
      <c r="B55" s="29"/>
      <c r="C55" s="29"/>
      <c r="D55" s="29"/>
      <c r="E55" s="29"/>
      <c r="F55" s="29"/>
      <c r="G55" s="29"/>
      <c r="H55" s="29"/>
      <c r="I55" s="29"/>
      <c r="J55" s="100"/>
      <c r="K55" s="100"/>
      <c r="L55" s="100"/>
      <c r="M55" s="100"/>
      <c r="N55" s="100"/>
      <c r="O55" s="100"/>
      <c r="P55" s="100"/>
      <c r="Q55" s="100"/>
    </row>
    <row r="56" spans="2:17" s="103" customFormat="1" ht="15.5" hidden="1" customHeight="1">
      <c r="B56" s="29"/>
      <c r="C56" s="29"/>
      <c r="D56" s="29"/>
      <c r="E56" s="29"/>
      <c r="F56" s="29"/>
      <c r="G56" s="29"/>
      <c r="H56" s="29"/>
      <c r="I56" s="29"/>
      <c r="J56" s="100"/>
      <c r="K56" s="100"/>
      <c r="L56" s="100"/>
      <c r="M56" s="100"/>
      <c r="N56" s="100"/>
      <c r="O56" s="100"/>
      <c r="P56" s="100"/>
      <c r="Q56" s="100"/>
    </row>
    <row r="57" spans="2:17" s="103" customFormat="1" ht="15.5" hidden="1" customHeight="1">
      <c r="B57" s="29"/>
      <c r="C57" s="29"/>
      <c r="D57" s="29"/>
      <c r="E57" s="29"/>
      <c r="F57" s="29"/>
      <c r="G57" s="29"/>
      <c r="H57" s="29"/>
      <c r="I57" s="29"/>
      <c r="J57" s="100"/>
      <c r="K57" s="100"/>
      <c r="L57" s="100"/>
      <c r="M57" s="100"/>
      <c r="N57" s="100"/>
      <c r="O57" s="100"/>
      <c r="P57" s="100"/>
      <c r="Q57" s="100"/>
    </row>
    <row r="58" spans="2:17" s="103" customFormat="1" ht="15.5" hidden="1" customHeight="1">
      <c r="B58" s="29"/>
      <c r="C58" s="29"/>
      <c r="D58" s="29"/>
      <c r="E58" s="29"/>
      <c r="F58" s="29"/>
      <c r="G58" s="29"/>
      <c r="H58" s="29"/>
      <c r="I58" s="29"/>
      <c r="J58" s="100"/>
      <c r="K58" s="100"/>
      <c r="L58" s="100"/>
      <c r="M58" s="100"/>
      <c r="N58" s="100"/>
      <c r="O58" s="100"/>
      <c r="P58" s="100"/>
      <c r="Q58" s="100"/>
    </row>
    <row r="59" spans="2:17" s="103" customFormat="1" ht="15.5" hidden="1" customHeight="1">
      <c r="B59" s="29"/>
      <c r="C59" s="29"/>
      <c r="D59" s="29"/>
      <c r="E59" s="29"/>
      <c r="F59" s="29"/>
      <c r="G59" s="29"/>
      <c r="H59" s="29"/>
      <c r="I59" s="29"/>
      <c r="J59" s="100"/>
      <c r="K59" s="100"/>
      <c r="L59" s="100"/>
      <c r="M59" s="100"/>
      <c r="N59" s="100"/>
      <c r="O59" s="100"/>
      <c r="P59" s="100"/>
      <c r="Q59" s="100"/>
    </row>
    <row r="60" spans="2:17" s="103" customFormat="1" ht="15.5" hidden="1" customHeight="1">
      <c r="B60" s="29"/>
      <c r="C60" s="29"/>
      <c r="D60" s="29"/>
      <c r="E60" s="29"/>
      <c r="F60" s="29"/>
      <c r="G60" s="29"/>
      <c r="H60" s="29"/>
      <c r="I60" s="29"/>
      <c r="J60" s="100"/>
      <c r="K60" s="100"/>
      <c r="L60" s="100"/>
      <c r="M60" s="100"/>
      <c r="N60" s="100"/>
      <c r="O60" s="100"/>
      <c r="P60" s="100"/>
      <c r="Q60" s="100"/>
    </row>
    <row r="61" spans="2:17" s="103" customFormat="1" ht="15.5" hidden="1" customHeight="1">
      <c r="B61" s="29"/>
      <c r="C61" s="29"/>
      <c r="D61" s="29"/>
      <c r="E61" s="29"/>
      <c r="F61" s="29"/>
      <c r="G61" s="29"/>
      <c r="H61" s="29"/>
      <c r="I61" s="29"/>
      <c r="J61" s="100"/>
      <c r="K61" s="100"/>
      <c r="L61" s="100"/>
      <c r="M61" s="100"/>
      <c r="N61" s="100"/>
      <c r="O61" s="100"/>
      <c r="P61" s="100"/>
      <c r="Q61" s="100"/>
    </row>
    <row r="62" spans="2:17" s="103" customFormat="1" ht="15.5" hidden="1" customHeight="1">
      <c r="B62" s="29"/>
      <c r="C62" s="29"/>
      <c r="D62" s="29"/>
      <c r="E62" s="29"/>
      <c r="F62" s="29"/>
      <c r="G62" s="29"/>
      <c r="H62" s="29"/>
      <c r="I62" s="29"/>
      <c r="J62" s="100"/>
      <c r="K62" s="100"/>
      <c r="L62" s="100"/>
      <c r="M62" s="100"/>
      <c r="N62" s="100"/>
      <c r="O62" s="100"/>
      <c r="P62" s="100"/>
      <c r="Q62" s="100"/>
    </row>
    <row r="63" spans="2:17" s="103" customFormat="1" ht="15.5" hidden="1" customHeight="1">
      <c r="B63" s="29"/>
      <c r="C63" s="29"/>
      <c r="D63" s="29"/>
      <c r="E63" s="29"/>
      <c r="F63" s="29"/>
      <c r="G63" s="29"/>
      <c r="H63" s="29"/>
      <c r="I63" s="29"/>
      <c r="J63" s="100"/>
      <c r="K63" s="100"/>
      <c r="L63" s="100"/>
      <c r="M63" s="100"/>
      <c r="N63" s="100"/>
      <c r="O63" s="100"/>
      <c r="P63" s="100"/>
      <c r="Q63" s="100"/>
    </row>
    <row r="64" spans="2:17" s="103" customFormat="1" ht="15.5" hidden="1" customHeight="1">
      <c r="B64" s="29"/>
      <c r="C64" s="29"/>
      <c r="D64" s="29"/>
      <c r="E64" s="29"/>
      <c r="F64" s="29"/>
      <c r="G64" s="29"/>
      <c r="H64" s="29"/>
      <c r="I64" s="29"/>
      <c r="J64" s="100"/>
      <c r="K64" s="100"/>
      <c r="L64" s="100"/>
      <c r="M64" s="100"/>
      <c r="N64" s="100"/>
      <c r="O64" s="100"/>
      <c r="P64" s="100"/>
      <c r="Q64" s="100"/>
    </row>
    <row r="65" spans="2:17" s="103" customFormat="1" ht="15.5" hidden="1" customHeight="1">
      <c r="B65" s="29"/>
      <c r="C65" s="29"/>
      <c r="D65" s="29"/>
      <c r="E65" s="29"/>
      <c r="F65" s="29"/>
      <c r="G65" s="29"/>
      <c r="H65" s="29"/>
      <c r="I65" s="29"/>
      <c r="J65" s="100"/>
      <c r="K65" s="100"/>
      <c r="L65" s="100"/>
      <c r="M65" s="100"/>
      <c r="N65" s="100"/>
      <c r="O65" s="100"/>
      <c r="P65" s="100"/>
      <c r="Q65" s="100"/>
    </row>
    <row r="66" spans="2:17" s="103" customFormat="1" ht="15.5" hidden="1" customHeight="1">
      <c r="B66" s="29"/>
      <c r="C66" s="29"/>
      <c r="D66" s="29"/>
      <c r="E66" s="29"/>
      <c r="F66" s="29"/>
      <c r="G66" s="29"/>
      <c r="H66" s="29"/>
      <c r="I66" s="29"/>
      <c r="J66" s="100"/>
      <c r="K66" s="100"/>
      <c r="L66" s="100"/>
      <c r="M66" s="100"/>
      <c r="N66" s="100"/>
      <c r="O66" s="100"/>
      <c r="P66" s="100"/>
      <c r="Q66" s="100"/>
    </row>
    <row r="67" spans="2:17" s="103" customFormat="1" ht="15.5" hidden="1" customHeight="1">
      <c r="B67" s="29"/>
      <c r="C67" s="29"/>
      <c r="D67" s="29"/>
      <c r="E67" s="29"/>
      <c r="F67" s="29"/>
      <c r="G67" s="29"/>
      <c r="H67" s="29"/>
      <c r="I67" s="29"/>
      <c r="J67" s="100"/>
      <c r="K67" s="100"/>
      <c r="L67" s="100"/>
      <c r="M67" s="100"/>
      <c r="N67" s="100"/>
      <c r="O67" s="100"/>
      <c r="P67" s="100"/>
      <c r="Q67" s="100"/>
    </row>
    <row r="68" spans="2:17" s="103" customFormat="1" ht="15.5" hidden="1" customHeight="1">
      <c r="B68" s="29"/>
      <c r="C68" s="29"/>
      <c r="D68" s="29"/>
      <c r="E68" s="29"/>
      <c r="F68" s="29"/>
      <c r="G68" s="29"/>
      <c r="H68" s="29"/>
      <c r="I68" s="29"/>
      <c r="J68" s="100"/>
      <c r="K68" s="100"/>
      <c r="L68" s="100"/>
      <c r="M68" s="100"/>
      <c r="N68" s="100"/>
      <c r="O68" s="100"/>
      <c r="P68" s="100"/>
      <c r="Q68" s="100"/>
    </row>
    <row r="69" spans="2:17" s="103" customFormat="1" ht="15.5" hidden="1" customHeight="1">
      <c r="B69" s="29"/>
      <c r="C69" s="29"/>
      <c r="D69" s="29"/>
      <c r="E69" s="29"/>
      <c r="F69" s="29"/>
      <c r="G69" s="29"/>
      <c r="H69" s="29"/>
      <c r="I69" s="29"/>
      <c r="J69" s="100"/>
      <c r="K69" s="100"/>
      <c r="L69" s="100"/>
      <c r="M69" s="100"/>
      <c r="N69" s="100"/>
      <c r="O69" s="100"/>
      <c r="P69" s="100"/>
      <c r="Q69" s="100"/>
    </row>
    <row r="70" spans="2:17" s="103" customFormat="1" ht="15.5" hidden="1" customHeight="1">
      <c r="B70" s="29"/>
      <c r="C70" s="29"/>
      <c r="D70" s="29"/>
      <c r="E70" s="29"/>
      <c r="F70" s="29"/>
      <c r="G70" s="29"/>
      <c r="H70" s="29"/>
      <c r="I70" s="29"/>
      <c r="J70" s="100"/>
      <c r="K70" s="100"/>
      <c r="L70" s="100"/>
      <c r="M70" s="100"/>
      <c r="N70" s="100"/>
      <c r="O70" s="100"/>
      <c r="P70" s="100"/>
      <c r="Q70" s="100"/>
    </row>
    <row r="71" spans="2:17" s="103" customFormat="1" ht="15.5" hidden="1" customHeight="1">
      <c r="B71" s="29"/>
      <c r="C71" s="29"/>
      <c r="D71" s="29"/>
      <c r="E71" s="29"/>
      <c r="F71" s="29"/>
      <c r="G71" s="29"/>
      <c r="H71" s="29"/>
      <c r="I71" s="29"/>
      <c r="J71" s="100"/>
      <c r="K71" s="100"/>
      <c r="L71" s="100"/>
      <c r="M71" s="100"/>
      <c r="N71" s="100"/>
      <c r="O71" s="100"/>
      <c r="P71" s="100"/>
      <c r="Q71" s="100"/>
    </row>
    <row r="72" spans="2:17" s="103" customFormat="1" ht="15.5" hidden="1" customHeight="1">
      <c r="B72" s="29"/>
      <c r="C72" s="29"/>
      <c r="D72" s="29"/>
      <c r="E72" s="29"/>
      <c r="F72" s="29"/>
      <c r="G72" s="29"/>
      <c r="H72" s="29"/>
      <c r="I72" s="29"/>
      <c r="J72" s="100"/>
      <c r="K72" s="100"/>
      <c r="L72" s="100"/>
      <c r="M72" s="100"/>
      <c r="N72" s="100"/>
      <c r="O72" s="100"/>
      <c r="P72" s="100"/>
      <c r="Q72" s="100"/>
    </row>
    <row r="73" spans="2:17" s="103" customFormat="1" ht="15.5" hidden="1" customHeight="1">
      <c r="B73" s="29"/>
      <c r="C73" s="29"/>
      <c r="D73" s="29"/>
      <c r="E73" s="29"/>
      <c r="F73" s="29"/>
      <c r="G73" s="29"/>
      <c r="H73" s="29"/>
      <c r="I73" s="29"/>
      <c r="J73" s="100"/>
      <c r="K73" s="100"/>
      <c r="L73" s="100"/>
      <c r="M73" s="100"/>
      <c r="N73" s="100"/>
      <c r="O73" s="100"/>
      <c r="P73" s="100"/>
      <c r="Q73" s="100"/>
    </row>
    <row r="74" spans="2:17" s="103" customFormat="1" ht="15.5" hidden="1" customHeight="1">
      <c r="B74" s="29"/>
      <c r="C74" s="29"/>
      <c r="D74" s="29"/>
      <c r="E74" s="29"/>
      <c r="F74" s="29"/>
      <c r="G74" s="29"/>
      <c r="H74" s="29"/>
      <c r="I74" s="29"/>
      <c r="J74" s="100"/>
      <c r="K74" s="100"/>
      <c r="L74" s="100"/>
      <c r="M74" s="100"/>
      <c r="N74" s="100"/>
      <c r="O74" s="100"/>
      <c r="P74" s="100"/>
      <c r="Q74" s="100"/>
    </row>
    <row r="75" spans="2:17" s="103" customFormat="1" ht="15.5" hidden="1" customHeight="1">
      <c r="B75" s="29"/>
      <c r="C75" s="29"/>
      <c r="D75" s="29"/>
      <c r="E75" s="29"/>
      <c r="F75" s="29"/>
      <c r="G75" s="29"/>
      <c r="H75" s="29"/>
      <c r="I75" s="29"/>
      <c r="J75" s="100"/>
      <c r="K75" s="100"/>
      <c r="L75" s="100"/>
      <c r="M75" s="100"/>
      <c r="N75" s="100"/>
      <c r="O75" s="100"/>
      <c r="P75" s="100"/>
      <c r="Q75" s="100"/>
    </row>
    <row r="76" spans="2:17" s="103" customFormat="1" ht="15.5" hidden="1" customHeight="1">
      <c r="B76" s="29"/>
      <c r="C76" s="29"/>
      <c r="D76" s="29"/>
      <c r="E76" s="29"/>
      <c r="F76" s="29"/>
      <c r="G76" s="29"/>
      <c r="H76" s="29"/>
      <c r="I76" s="29"/>
      <c r="J76" s="100"/>
      <c r="K76" s="100"/>
      <c r="L76" s="100"/>
      <c r="M76" s="100"/>
      <c r="N76" s="100"/>
      <c r="O76" s="100"/>
      <c r="P76" s="100"/>
      <c r="Q76" s="100"/>
    </row>
    <row r="77" spans="2:17" s="103" customFormat="1" ht="15.5" hidden="1" customHeight="1">
      <c r="B77" s="29"/>
      <c r="C77" s="29"/>
      <c r="D77" s="29"/>
      <c r="E77" s="29"/>
      <c r="F77" s="29"/>
      <c r="G77" s="29"/>
      <c r="H77" s="29"/>
      <c r="I77" s="29"/>
      <c r="J77" s="100"/>
      <c r="K77" s="100"/>
      <c r="L77" s="100"/>
      <c r="M77" s="100"/>
      <c r="N77" s="100"/>
      <c r="O77" s="100"/>
      <c r="P77" s="100"/>
      <c r="Q77" s="100"/>
    </row>
    <row r="78" spans="2:17" s="103" customFormat="1" ht="15.5" hidden="1" customHeight="1">
      <c r="B78" s="29"/>
      <c r="C78" s="29"/>
      <c r="D78" s="29"/>
      <c r="E78" s="29"/>
      <c r="F78" s="29"/>
      <c r="G78" s="29"/>
      <c r="H78" s="29"/>
      <c r="I78" s="29"/>
      <c r="J78" s="100"/>
      <c r="K78" s="100"/>
      <c r="L78" s="100"/>
      <c r="M78" s="100"/>
      <c r="N78" s="100"/>
      <c r="O78" s="100"/>
      <c r="P78" s="100"/>
      <c r="Q78" s="100"/>
    </row>
    <row r="79" spans="2:17" s="103" customFormat="1" ht="15.5" hidden="1" customHeight="1">
      <c r="B79" s="29"/>
      <c r="C79" s="29"/>
      <c r="D79" s="29"/>
      <c r="E79" s="29"/>
      <c r="F79" s="29"/>
      <c r="G79" s="29"/>
      <c r="H79" s="29"/>
      <c r="I79" s="29"/>
      <c r="J79" s="100"/>
      <c r="K79" s="100"/>
      <c r="L79" s="100"/>
      <c r="M79" s="100"/>
      <c r="N79" s="100"/>
      <c r="O79" s="100"/>
      <c r="P79" s="100"/>
      <c r="Q79" s="100"/>
    </row>
    <row r="80" spans="2:17" s="103" customFormat="1" ht="15.5" hidden="1" customHeight="1">
      <c r="B80" s="29"/>
      <c r="C80" s="29"/>
      <c r="D80" s="29"/>
      <c r="E80" s="29"/>
      <c r="F80" s="29"/>
      <c r="G80" s="29"/>
      <c r="H80" s="29"/>
      <c r="I80" s="29"/>
      <c r="J80" s="100"/>
      <c r="K80" s="100"/>
      <c r="L80" s="100"/>
      <c r="M80" s="100"/>
      <c r="N80" s="100"/>
      <c r="O80" s="100"/>
      <c r="P80" s="100"/>
      <c r="Q80" s="100"/>
    </row>
    <row r="81" spans="2:17" s="103" customFormat="1" ht="15.5" hidden="1" customHeight="1">
      <c r="B81" s="29"/>
      <c r="C81" s="29"/>
      <c r="D81" s="29"/>
      <c r="E81" s="29"/>
      <c r="F81" s="29"/>
      <c r="G81" s="29"/>
      <c r="H81" s="29"/>
      <c r="I81" s="29"/>
      <c r="J81" s="100"/>
      <c r="K81" s="100"/>
      <c r="L81" s="100"/>
      <c r="M81" s="100"/>
      <c r="N81" s="100"/>
      <c r="O81" s="100"/>
      <c r="P81" s="100"/>
      <c r="Q81" s="100"/>
    </row>
    <row r="82" spans="2:17" s="103" customFormat="1" ht="15.5" hidden="1" customHeight="1">
      <c r="B82" s="29"/>
      <c r="C82" s="29"/>
      <c r="D82" s="29"/>
      <c r="E82" s="29"/>
      <c r="F82" s="29"/>
      <c r="G82" s="29"/>
      <c r="H82" s="29"/>
      <c r="I82" s="29"/>
      <c r="J82" s="100"/>
      <c r="K82" s="100"/>
      <c r="L82" s="100"/>
      <c r="M82" s="100"/>
      <c r="N82" s="100"/>
      <c r="O82" s="100"/>
      <c r="P82" s="100"/>
      <c r="Q82" s="100"/>
    </row>
    <row r="83" spans="2:17" s="103" customFormat="1" ht="15.5" hidden="1" customHeight="1">
      <c r="B83" s="29"/>
      <c r="C83" s="29"/>
      <c r="D83" s="29"/>
      <c r="E83" s="29"/>
      <c r="F83" s="29"/>
      <c r="G83" s="29"/>
      <c r="H83" s="29"/>
      <c r="I83" s="29"/>
      <c r="J83" s="100"/>
      <c r="K83" s="100"/>
      <c r="L83" s="100"/>
      <c r="M83" s="100"/>
      <c r="N83" s="100"/>
      <c r="O83" s="100"/>
      <c r="P83" s="100"/>
      <c r="Q83" s="100"/>
    </row>
    <row r="84" spans="2:17" s="103" customFormat="1" ht="15.5" hidden="1" customHeight="1">
      <c r="B84" s="29"/>
      <c r="C84" s="29"/>
      <c r="D84" s="29"/>
      <c r="E84" s="29"/>
      <c r="F84" s="29"/>
      <c r="G84" s="29"/>
      <c r="H84" s="29"/>
      <c r="I84" s="29"/>
      <c r="J84" s="100"/>
      <c r="K84" s="100"/>
      <c r="L84" s="100"/>
      <c r="M84" s="100"/>
      <c r="N84" s="100"/>
      <c r="O84" s="100"/>
      <c r="P84" s="100"/>
      <c r="Q84" s="100"/>
    </row>
    <row r="85" spans="2:17" s="103" customFormat="1" ht="15.5" hidden="1" customHeight="1">
      <c r="B85" s="29"/>
      <c r="C85" s="29"/>
      <c r="D85" s="29"/>
      <c r="E85" s="29"/>
      <c r="F85" s="29"/>
      <c r="G85" s="29"/>
      <c r="H85" s="29"/>
      <c r="I85" s="29"/>
      <c r="J85" s="100"/>
      <c r="K85" s="100"/>
      <c r="L85" s="100"/>
      <c r="M85" s="100"/>
      <c r="N85" s="100"/>
      <c r="O85" s="100"/>
      <c r="P85" s="100"/>
      <c r="Q85" s="100"/>
    </row>
    <row r="86" spans="2:17" s="103" customFormat="1" ht="15.5" hidden="1" customHeight="1">
      <c r="B86" s="29"/>
      <c r="C86" s="29"/>
      <c r="D86" s="29"/>
      <c r="E86" s="29"/>
      <c r="F86" s="29"/>
      <c r="G86" s="29"/>
      <c r="H86" s="29"/>
      <c r="I86" s="29"/>
      <c r="J86" s="100"/>
      <c r="K86" s="100"/>
      <c r="L86" s="100"/>
      <c r="M86" s="100"/>
      <c r="N86" s="100"/>
      <c r="O86" s="100"/>
      <c r="P86" s="100"/>
      <c r="Q86" s="100"/>
    </row>
    <row r="87" spans="2:17" s="103" customFormat="1" ht="15.5" hidden="1" customHeight="1">
      <c r="B87" s="29"/>
      <c r="C87" s="29"/>
      <c r="D87" s="29"/>
      <c r="E87" s="29"/>
      <c r="F87" s="29"/>
      <c r="G87" s="29"/>
      <c r="H87" s="29"/>
      <c r="I87" s="29"/>
      <c r="J87" s="100"/>
      <c r="K87" s="100"/>
      <c r="L87" s="100"/>
      <c r="M87" s="100"/>
      <c r="N87" s="100"/>
      <c r="O87" s="100"/>
      <c r="P87" s="100"/>
      <c r="Q87" s="100"/>
    </row>
    <row r="88" spans="2:17" s="103" customFormat="1" ht="15.5" hidden="1" customHeight="1">
      <c r="B88" s="29"/>
      <c r="C88" s="29"/>
      <c r="D88" s="29"/>
      <c r="E88" s="29"/>
      <c r="F88" s="29"/>
      <c r="G88" s="29"/>
      <c r="H88" s="29"/>
      <c r="I88" s="29"/>
      <c r="J88" s="100"/>
      <c r="K88" s="100"/>
      <c r="L88" s="100"/>
      <c r="M88" s="100"/>
      <c r="N88" s="100"/>
      <c r="O88" s="100"/>
      <c r="P88" s="100"/>
      <c r="Q88" s="100"/>
    </row>
    <row r="89" spans="2:17" s="103" customFormat="1" ht="15.5" hidden="1" customHeight="1">
      <c r="B89" s="29"/>
      <c r="C89" s="29"/>
      <c r="D89" s="29"/>
      <c r="E89" s="29"/>
      <c r="F89" s="29"/>
      <c r="G89" s="29"/>
      <c r="H89" s="29"/>
      <c r="I89" s="29"/>
      <c r="J89" s="100"/>
      <c r="K89" s="100"/>
      <c r="L89" s="100"/>
      <c r="M89" s="100"/>
      <c r="N89" s="100"/>
      <c r="O89" s="100"/>
      <c r="P89" s="100"/>
      <c r="Q89" s="100"/>
    </row>
    <row r="90" spans="2:17" s="103" customFormat="1" ht="15.5" hidden="1" customHeight="1">
      <c r="B90" s="29"/>
      <c r="C90" s="29"/>
      <c r="D90" s="29"/>
      <c r="E90" s="29"/>
      <c r="F90" s="29"/>
      <c r="G90" s="29"/>
      <c r="H90" s="29"/>
      <c r="I90" s="29"/>
      <c r="J90" s="100"/>
      <c r="K90" s="100"/>
      <c r="L90" s="100"/>
      <c r="M90" s="100"/>
      <c r="N90" s="100"/>
      <c r="O90" s="100"/>
      <c r="P90" s="100"/>
      <c r="Q90" s="100"/>
    </row>
    <row r="91" spans="2:17" s="103" customFormat="1" ht="15.5" hidden="1" customHeight="1">
      <c r="B91" s="29"/>
      <c r="C91" s="29"/>
      <c r="D91" s="29"/>
      <c r="E91" s="29"/>
      <c r="F91" s="29"/>
      <c r="G91" s="29"/>
      <c r="H91" s="29"/>
      <c r="I91" s="29"/>
      <c r="J91" s="100"/>
      <c r="K91" s="100"/>
      <c r="L91" s="100"/>
      <c r="M91" s="100"/>
      <c r="N91" s="100"/>
      <c r="O91" s="100"/>
      <c r="P91" s="100"/>
      <c r="Q91" s="100"/>
    </row>
    <row r="92" spans="2:17" s="103" customFormat="1" ht="15.5" hidden="1" customHeight="1">
      <c r="B92" s="29"/>
      <c r="C92" s="29"/>
      <c r="D92" s="29"/>
      <c r="E92" s="29"/>
      <c r="F92" s="29"/>
      <c r="G92" s="29"/>
      <c r="H92" s="29"/>
      <c r="I92" s="29"/>
      <c r="J92" s="100"/>
      <c r="K92" s="100"/>
      <c r="L92" s="100"/>
      <c r="M92" s="100"/>
      <c r="N92" s="100"/>
      <c r="O92" s="100"/>
      <c r="P92" s="100"/>
      <c r="Q92" s="100"/>
    </row>
    <row r="93" spans="2:17" s="103" customFormat="1" ht="15.5" hidden="1" customHeight="1">
      <c r="B93" s="29"/>
      <c r="C93" s="29"/>
      <c r="D93" s="29"/>
      <c r="E93" s="29"/>
      <c r="F93" s="29"/>
      <c r="G93" s="29"/>
      <c r="H93" s="29"/>
      <c r="I93" s="29"/>
      <c r="J93" s="100"/>
      <c r="K93" s="100"/>
      <c r="L93" s="100"/>
      <c r="M93" s="100"/>
      <c r="N93" s="100"/>
      <c r="O93" s="100"/>
      <c r="P93" s="100"/>
      <c r="Q93" s="100"/>
    </row>
    <row r="94" spans="2:17" s="103" customFormat="1" ht="15.5" hidden="1" customHeight="1">
      <c r="B94" s="29"/>
      <c r="C94" s="29"/>
      <c r="D94" s="29"/>
      <c r="E94" s="29"/>
      <c r="F94" s="29"/>
      <c r="G94" s="29"/>
      <c r="H94" s="29"/>
      <c r="I94" s="29"/>
      <c r="J94" s="100"/>
      <c r="K94" s="100"/>
      <c r="L94" s="100"/>
      <c r="M94" s="100"/>
      <c r="N94" s="100"/>
      <c r="O94" s="100"/>
      <c r="P94" s="100"/>
      <c r="Q94" s="100"/>
    </row>
    <row r="95" spans="2:17" s="103" customFormat="1" ht="15.5" hidden="1" customHeight="1">
      <c r="B95" s="29"/>
      <c r="C95" s="29"/>
      <c r="D95" s="29"/>
      <c r="E95" s="29"/>
      <c r="F95" s="29"/>
      <c r="G95" s="29"/>
      <c r="H95" s="29"/>
      <c r="I95" s="29"/>
      <c r="J95" s="100"/>
      <c r="K95" s="100"/>
      <c r="L95" s="100"/>
      <c r="M95" s="100"/>
      <c r="N95" s="100"/>
      <c r="O95" s="100"/>
      <c r="P95" s="100"/>
      <c r="Q95" s="100"/>
    </row>
    <row r="96" spans="2:17" s="103" customFormat="1" ht="15.5" hidden="1" customHeight="1">
      <c r="B96" s="29"/>
      <c r="C96" s="29"/>
      <c r="D96" s="29"/>
      <c r="E96" s="29"/>
      <c r="F96" s="29"/>
      <c r="G96" s="29"/>
      <c r="H96" s="29"/>
      <c r="I96" s="29"/>
      <c r="J96" s="100"/>
      <c r="K96" s="100"/>
      <c r="L96" s="100"/>
      <c r="M96" s="100"/>
      <c r="N96" s="100"/>
      <c r="O96" s="100"/>
      <c r="P96" s="100"/>
      <c r="Q96" s="100"/>
    </row>
    <row r="97" spans="2:17" s="103" customFormat="1" ht="15.5" hidden="1" customHeight="1">
      <c r="B97" s="29"/>
      <c r="C97" s="29"/>
      <c r="D97" s="29"/>
      <c r="E97" s="29"/>
      <c r="F97" s="29"/>
      <c r="G97" s="29"/>
      <c r="H97" s="29"/>
      <c r="I97" s="29"/>
      <c r="J97" s="100"/>
      <c r="K97" s="100"/>
      <c r="L97" s="100"/>
      <c r="M97" s="100"/>
      <c r="N97" s="100"/>
      <c r="O97" s="100"/>
      <c r="P97" s="100"/>
      <c r="Q97" s="100"/>
    </row>
    <row r="98" spans="2:17" s="103" customFormat="1" ht="15.5" hidden="1" customHeight="1">
      <c r="B98" s="29"/>
      <c r="C98" s="29"/>
      <c r="D98" s="29"/>
      <c r="E98" s="29"/>
      <c r="F98" s="29"/>
      <c r="G98" s="29"/>
      <c r="H98" s="29"/>
      <c r="I98" s="29"/>
      <c r="J98" s="100"/>
      <c r="K98" s="100"/>
      <c r="L98" s="100"/>
      <c r="M98" s="100"/>
      <c r="N98" s="100"/>
      <c r="O98" s="100"/>
      <c r="P98" s="100"/>
      <c r="Q98" s="100"/>
    </row>
    <row r="99" spans="2:17" s="103" customFormat="1" ht="15.5" hidden="1" customHeight="1">
      <c r="B99" s="29"/>
      <c r="C99" s="29"/>
      <c r="D99" s="29"/>
      <c r="E99" s="29"/>
      <c r="F99" s="29"/>
      <c r="G99" s="29"/>
      <c r="H99" s="29"/>
      <c r="I99" s="29"/>
      <c r="J99" s="100"/>
      <c r="K99" s="100"/>
      <c r="L99" s="100"/>
      <c r="M99" s="100"/>
      <c r="N99" s="100"/>
      <c r="O99" s="100"/>
      <c r="P99" s="100"/>
      <c r="Q99" s="100"/>
    </row>
    <row r="100" spans="2:17" s="103" customFormat="1" ht="15.5" hidden="1" customHeight="1">
      <c r="B100" s="29"/>
      <c r="C100" s="29"/>
      <c r="D100" s="29"/>
      <c r="E100" s="29"/>
      <c r="F100" s="29"/>
      <c r="G100" s="29"/>
      <c r="H100" s="29"/>
      <c r="I100" s="29"/>
      <c r="J100" s="100"/>
      <c r="K100" s="100"/>
      <c r="L100" s="100"/>
      <c r="M100" s="100"/>
      <c r="N100" s="100"/>
      <c r="O100" s="100"/>
      <c r="P100" s="100"/>
      <c r="Q100" s="100"/>
    </row>
    <row r="101" spans="2:17" s="103" customFormat="1" ht="15.5" hidden="1" customHeight="1">
      <c r="B101" s="29"/>
      <c r="C101" s="29"/>
      <c r="D101" s="29"/>
      <c r="E101" s="29"/>
      <c r="F101" s="29"/>
      <c r="G101" s="29"/>
      <c r="H101" s="29"/>
      <c r="I101" s="29"/>
      <c r="J101" s="100"/>
      <c r="K101" s="100"/>
      <c r="L101" s="100"/>
      <c r="M101" s="100"/>
      <c r="N101" s="100"/>
      <c r="O101" s="100"/>
      <c r="P101" s="100"/>
      <c r="Q101" s="100"/>
    </row>
    <row r="102" spans="2:17" s="103" customFormat="1" ht="15.5" hidden="1" customHeight="1">
      <c r="B102" s="29"/>
      <c r="C102" s="29"/>
      <c r="D102" s="29"/>
      <c r="E102" s="29"/>
      <c r="F102" s="29"/>
      <c r="G102" s="29"/>
      <c r="H102" s="29"/>
      <c r="I102" s="29"/>
      <c r="J102" s="100"/>
      <c r="K102" s="100"/>
      <c r="L102" s="100"/>
      <c r="M102" s="100"/>
      <c r="N102" s="100"/>
      <c r="O102" s="100"/>
      <c r="P102" s="100"/>
      <c r="Q102" s="100"/>
    </row>
    <row r="103" spans="2:17" s="103" customFormat="1" ht="15.5" hidden="1" customHeight="1">
      <c r="B103" s="29"/>
      <c r="C103" s="29"/>
      <c r="D103" s="29"/>
      <c r="E103" s="29"/>
      <c r="F103" s="29"/>
      <c r="G103" s="29"/>
      <c r="H103" s="29"/>
      <c r="I103" s="29"/>
      <c r="J103" s="100"/>
      <c r="K103" s="100"/>
      <c r="L103" s="100"/>
      <c r="M103" s="100"/>
      <c r="N103" s="100"/>
      <c r="O103" s="100"/>
      <c r="P103" s="100"/>
      <c r="Q103" s="100"/>
    </row>
    <row r="104" spans="2:17" s="103" customFormat="1" ht="15.5" hidden="1" customHeight="1">
      <c r="B104" s="29"/>
      <c r="C104" s="29"/>
      <c r="D104" s="29"/>
      <c r="E104" s="29"/>
      <c r="F104" s="29"/>
      <c r="G104" s="29"/>
      <c r="H104" s="29"/>
      <c r="I104" s="29"/>
      <c r="J104" s="100"/>
      <c r="K104" s="100"/>
      <c r="L104" s="100"/>
      <c r="M104" s="100"/>
      <c r="N104" s="100"/>
      <c r="O104" s="100"/>
      <c r="P104" s="100"/>
      <c r="Q104" s="100"/>
    </row>
    <row r="105" spans="2:17" s="103" customFormat="1" ht="15.5" hidden="1" customHeight="1">
      <c r="B105" s="29"/>
      <c r="C105" s="29"/>
      <c r="D105" s="29"/>
      <c r="E105" s="29"/>
      <c r="F105" s="29"/>
      <c r="G105" s="29"/>
      <c r="H105" s="29"/>
      <c r="I105" s="29"/>
      <c r="J105" s="100"/>
      <c r="K105" s="100"/>
      <c r="L105" s="100"/>
      <c r="M105" s="100"/>
      <c r="N105" s="100"/>
      <c r="O105" s="100"/>
      <c r="P105" s="100"/>
      <c r="Q105" s="100"/>
    </row>
    <row r="106" spans="2:17" s="103" customFormat="1" ht="15.5" hidden="1" customHeight="1">
      <c r="B106" s="29"/>
      <c r="C106" s="29"/>
      <c r="D106" s="29"/>
      <c r="E106" s="29"/>
      <c r="F106" s="29"/>
      <c r="G106" s="29"/>
      <c r="H106" s="29"/>
      <c r="I106" s="29"/>
      <c r="J106" s="100"/>
      <c r="K106" s="100"/>
      <c r="L106" s="100"/>
      <c r="M106" s="100"/>
      <c r="N106" s="100"/>
      <c r="O106" s="100"/>
      <c r="P106" s="100"/>
      <c r="Q106" s="100"/>
    </row>
    <row r="107" spans="2:17" s="103" customFormat="1" ht="15.5" hidden="1" customHeight="1">
      <c r="B107" s="29"/>
      <c r="C107" s="29"/>
      <c r="D107" s="29"/>
      <c r="E107" s="29"/>
      <c r="F107" s="29"/>
      <c r="G107" s="29"/>
      <c r="H107" s="29"/>
      <c r="I107" s="29"/>
      <c r="J107" s="100"/>
      <c r="K107" s="100"/>
      <c r="L107" s="100"/>
      <c r="M107" s="100"/>
      <c r="N107" s="100"/>
      <c r="O107" s="100"/>
      <c r="P107" s="100"/>
      <c r="Q107" s="100"/>
    </row>
    <row r="108" spans="2:17" s="103" customFormat="1" ht="15.5" hidden="1" customHeight="1">
      <c r="B108" s="29"/>
      <c r="C108" s="29"/>
      <c r="D108" s="29"/>
      <c r="E108" s="29"/>
      <c r="F108" s="29"/>
      <c r="G108" s="29"/>
      <c r="H108" s="29"/>
      <c r="I108" s="29"/>
      <c r="J108" s="100"/>
      <c r="K108" s="100"/>
      <c r="L108" s="100"/>
      <c r="M108" s="100"/>
      <c r="N108" s="100"/>
      <c r="O108" s="100"/>
      <c r="P108" s="100"/>
      <c r="Q108" s="100"/>
    </row>
    <row r="109" spans="2:17" s="103" customFormat="1" ht="15.5" hidden="1" customHeight="1">
      <c r="B109" s="29"/>
      <c r="C109" s="29"/>
      <c r="D109" s="29"/>
      <c r="E109" s="29"/>
      <c r="F109" s="29"/>
      <c r="G109" s="29"/>
      <c r="H109" s="29"/>
      <c r="I109" s="29"/>
      <c r="J109" s="100"/>
      <c r="K109" s="100"/>
      <c r="L109" s="100"/>
      <c r="M109" s="100"/>
      <c r="N109" s="100"/>
      <c r="O109" s="100"/>
      <c r="P109" s="100"/>
      <c r="Q109" s="100"/>
    </row>
    <row r="110" spans="2:17" s="103" customFormat="1" ht="15.5" hidden="1" customHeight="1">
      <c r="B110" s="29"/>
      <c r="C110" s="29"/>
      <c r="D110" s="29"/>
      <c r="E110" s="29"/>
      <c r="F110" s="29"/>
      <c r="G110" s="29"/>
      <c r="H110" s="29"/>
      <c r="I110" s="29"/>
      <c r="J110" s="100"/>
      <c r="K110" s="100"/>
      <c r="L110" s="100"/>
      <c r="M110" s="100"/>
      <c r="N110" s="100"/>
      <c r="O110" s="100"/>
      <c r="P110" s="100"/>
      <c r="Q110" s="100"/>
    </row>
    <row r="111" spans="2:17" s="103" customFormat="1" ht="15.5" hidden="1" customHeight="1">
      <c r="B111" s="29"/>
      <c r="C111" s="29"/>
      <c r="D111" s="29"/>
      <c r="E111" s="29"/>
      <c r="F111" s="29"/>
      <c r="G111" s="29"/>
      <c r="H111" s="29"/>
      <c r="I111" s="29"/>
      <c r="J111" s="100"/>
      <c r="K111" s="100"/>
      <c r="L111" s="100"/>
      <c r="M111" s="100"/>
      <c r="N111" s="100"/>
      <c r="O111" s="100"/>
      <c r="P111" s="100"/>
      <c r="Q111" s="100"/>
    </row>
    <row r="112" spans="2:17" s="103" customFormat="1" ht="15.5" hidden="1" customHeight="1">
      <c r="B112" s="29"/>
      <c r="C112" s="29"/>
      <c r="D112" s="29"/>
      <c r="E112" s="29"/>
      <c r="F112" s="29"/>
      <c r="G112" s="29"/>
      <c r="H112" s="29"/>
      <c r="I112" s="29"/>
      <c r="J112" s="100"/>
      <c r="K112" s="100"/>
      <c r="L112" s="100"/>
      <c r="M112" s="100"/>
      <c r="N112" s="100"/>
      <c r="O112" s="100"/>
      <c r="P112" s="100"/>
      <c r="Q112" s="100"/>
    </row>
    <row r="113" spans="2:17" s="103" customFormat="1" ht="15.5" hidden="1" customHeight="1">
      <c r="B113" s="29"/>
      <c r="C113" s="29"/>
      <c r="D113" s="29"/>
      <c r="E113" s="29"/>
      <c r="F113" s="29"/>
      <c r="G113" s="29"/>
      <c r="H113" s="29"/>
      <c r="I113" s="29"/>
      <c r="J113" s="100"/>
      <c r="K113" s="100"/>
      <c r="L113" s="100"/>
      <c r="M113" s="100"/>
      <c r="N113" s="100"/>
      <c r="O113" s="100"/>
      <c r="P113" s="100"/>
      <c r="Q113" s="100"/>
    </row>
    <row r="114" spans="2:17" s="103" customFormat="1" ht="15.5" hidden="1" customHeight="1">
      <c r="B114" s="29"/>
      <c r="C114" s="29"/>
      <c r="D114" s="29"/>
      <c r="E114" s="29"/>
      <c r="F114" s="29"/>
      <c r="G114" s="29"/>
      <c r="H114" s="29"/>
      <c r="I114" s="29"/>
      <c r="J114" s="100"/>
      <c r="K114" s="100"/>
      <c r="L114" s="100"/>
      <c r="M114" s="100"/>
      <c r="N114" s="100"/>
      <c r="O114" s="100"/>
      <c r="P114" s="100"/>
      <c r="Q114" s="100"/>
    </row>
    <row r="115" spans="2:17" s="103" customFormat="1" ht="15.5" hidden="1" customHeight="1">
      <c r="B115" s="29"/>
      <c r="C115" s="29"/>
      <c r="D115" s="29"/>
      <c r="E115" s="29"/>
      <c r="F115" s="29"/>
      <c r="G115" s="29"/>
      <c r="H115" s="29"/>
      <c r="I115" s="29"/>
      <c r="J115" s="100"/>
      <c r="K115" s="100"/>
      <c r="L115" s="100"/>
      <c r="M115" s="100"/>
      <c r="N115" s="100"/>
      <c r="O115" s="100"/>
      <c r="P115" s="100"/>
      <c r="Q115" s="100"/>
    </row>
    <row r="116" spans="2:17" s="103" customFormat="1" ht="15.5" hidden="1" customHeight="1">
      <c r="B116" s="29"/>
      <c r="C116" s="29"/>
      <c r="D116" s="29"/>
      <c r="E116" s="29"/>
      <c r="F116" s="29"/>
      <c r="G116" s="29"/>
      <c r="H116" s="29"/>
      <c r="I116" s="29"/>
      <c r="J116" s="100"/>
      <c r="K116" s="100"/>
      <c r="L116" s="100"/>
      <c r="M116" s="100"/>
      <c r="N116" s="100"/>
      <c r="O116" s="100"/>
      <c r="P116" s="100"/>
      <c r="Q116" s="100"/>
    </row>
    <row r="117" spans="2:17" s="103" customFormat="1" ht="15.5" hidden="1" customHeight="1">
      <c r="B117" s="29"/>
      <c r="C117" s="29"/>
      <c r="D117" s="29"/>
      <c r="E117" s="29"/>
      <c r="F117" s="29"/>
      <c r="G117" s="29"/>
      <c r="H117" s="29"/>
      <c r="I117" s="29"/>
      <c r="J117" s="100"/>
      <c r="K117" s="100"/>
      <c r="L117" s="100"/>
      <c r="M117" s="100"/>
      <c r="N117" s="100"/>
      <c r="O117" s="100"/>
      <c r="P117" s="100"/>
      <c r="Q117" s="100"/>
    </row>
    <row r="118" spans="2:17" s="103" customFormat="1" ht="15.5" hidden="1" customHeight="1">
      <c r="B118" s="29"/>
      <c r="C118" s="29"/>
      <c r="D118" s="29"/>
      <c r="E118" s="29"/>
      <c r="F118" s="29"/>
      <c r="G118" s="29"/>
      <c r="H118" s="29"/>
      <c r="I118" s="29"/>
      <c r="J118" s="100"/>
      <c r="K118" s="100"/>
      <c r="L118" s="100"/>
      <c r="M118" s="100"/>
      <c r="N118" s="100"/>
      <c r="O118" s="100"/>
      <c r="P118" s="100"/>
      <c r="Q118" s="100"/>
    </row>
    <row r="119" spans="2:17" s="103" customFormat="1" ht="15.5" hidden="1" customHeight="1">
      <c r="B119" s="29"/>
      <c r="C119" s="29"/>
      <c r="D119" s="29"/>
      <c r="E119" s="29"/>
      <c r="F119" s="29"/>
      <c r="G119" s="29"/>
      <c r="H119" s="29"/>
      <c r="I119" s="29"/>
      <c r="J119" s="100"/>
      <c r="K119" s="100"/>
      <c r="L119" s="100"/>
      <c r="M119" s="100"/>
      <c r="N119" s="100"/>
      <c r="O119" s="100"/>
      <c r="P119" s="100"/>
      <c r="Q119" s="100"/>
    </row>
    <row r="120" spans="2:17" s="103" customFormat="1" ht="15.5" hidden="1" customHeight="1">
      <c r="B120" s="29"/>
      <c r="C120" s="29"/>
      <c r="D120" s="29"/>
      <c r="E120" s="29"/>
      <c r="F120" s="29"/>
      <c r="G120" s="29"/>
      <c r="H120" s="29"/>
      <c r="I120" s="29"/>
      <c r="J120" s="100"/>
      <c r="K120" s="100"/>
      <c r="L120" s="100"/>
      <c r="M120" s="100"/>
      <c r="N120" s="100"/>
      <c r="O120" s="100"/>
      <c r="P120" s="100"/>
      <c r="Q120" s="100"/>
    </row>
    <row r="121" spans="2:17" s="103" customFormat="1" ht="15.5" hidden="1" customHeight="1">
      <c r="B121" s="29"/>
      <c r="C121" s="29"/>
      <c r="D121" s="29"/>
      <c r="E121" s="29"/>
      <c r="F121" s="29"/>
      <c r="G121" s="29"/>
      <c r="H121" s="29"/>
      <c r="I121" s="29"/>
      <c r="J121" s="100"/>
      <c r="K121" s="100"/>
      <c r="L121" s="100"/>
      <c r="M121" s="100"/>
      <c r="N121" s="100"/>
      <c r="O121" s="100"/>
      <c r="P121" s="100"/>
      <c r="Q121" s="100"/>
    </row>
    <row r="122" spans="2:17" s="103" customFormat="1" ht="15.5" hidden="1" customHeight="1">
      <c r="B122" s="29"/>
      <c r="C122" s="29"/>
      <c r="D122" s="29"/>
      <c r="E122" s="29"/>
      <c r="F122" s="29"/>
      <c r="G122" s="29"/>
      <c r="H122" s="29"/>
      <c r="I122" s="29"/>
      <c r="J122" s="100"/>
      <c r="K122" s="100"/>
      <c r="L122" s="100"/>
      <c r="M122" s="100"/>
      <c r="N122" s="100"/>
      <c r="O122" s="100"/>
      <c r="P122" s="100"/>
      <c r="Q122" s="100"/>
    </row>
    <row r="123" spans="2:17" s="103" customFormat="1" ht="15.5" hidden="1" customHeight="1">
      <c r="B123" s="29"/>
      <c r="C123" s="29"/>
      <c r="D123" s="29"/>
      <c r="E123" s="29"/>
      <c r="F123" s="29"/>
      <c r="G123" s="29"/>
      <c r="H123" s="29"/>
      <c r="I123" s="29"/>
      <c r="J123" s="100"/>
      <c r="K123" s="100"/>
      <c r="L123" s="100"/>
      <c r="M123" s="100"/>
      <c r="N123" s="100"/>
      <c r="O123" s="100"/>
      <c r="P123" s="100"/>
      <c r="Q123" s="100"/>
    </row>
    <row r="124" spans="2:17" s="103" customFormat="1" ht="15.5" hidden="1" customHeight="1">
      <c r="B124" s="29"/>
      <c r="C124" s="29"/>
      <c r="D124" s="29"/>
      <c r="E124" s="29"/>
      <c r="F124" s="29"/>
      <c r="G124" s="29"/>
      <c r="H124" s="29"/>
      <c r="I124" s="29"/>
      <c r="J124" s="100"/>
      <c r="K124" s="100"/>
      <c r="L124" s="100"/>
      <c r="M124" s="100"/>
      <c r="N124" s="100"/>
      <c r="O124" s="100"/>
      <c r="P124" s="100"/>
      <c r="Q124" s="100"/>
    </row>
    <row r="125" spans="2:17" s="103" customFormat="1" ht="15.5" hidden="1" customHeight="1">
      <c r="B125" s="29"/>
      <c r="C125" s="29"/>
      <c r="D125" s="29"/>
      <c r="E125" s="29"/>
      <c r="F125" s="29"/>
      <c r="G125" s="29"/>
      <c r="H125" s="29"/>
      <c r="I125" s="29"/>
      <c r="J125" s="100"/>
      <c r="K125" s="100"/>
      <c r="L125" s="100"/>
      <c r="M125" s="100"/>
      <c r="N125" s="100"/>
      <c r="O125" s="100"/>
      <c r="P125" s="100"/>
      <c r="Q125" s="100"/>
    </row>
    <row r="126" spans="2:17" s="103" customFormat="1" ht="15.5" hidden="1" customHeight="1">
      <c r="B126" s="29"/>
      <c r="C126" s="29"/>
      <c r="D126" s="29"/>
      <c r="E126" s="29"/>
      <c r="F126" s="29"/>
      <c r="G126" s="29"/>
      <c r="H126" s="29"/>
      <c r="I126" s="29"/>
      <c r="J126" s="100"/>
      <c r="K126" s="100"/>
      <c r="L126" s="100"/>
      <c r="M126" s="100"/>
      <c r="N126" s="100"/>
      <c r="O126" s="100"/>
      <c r="P126" s="100"/>
      <c r="Q126" s="100"/>
    </row>
    <row r="127" spans="2:17" s="103" customFormat="1" ht="15.5" hidden="1" customHeight="1">
      <c r="B127" s="29"/>
      <c r="C127" s="29"/>
      <c r="D127" s="29"/>
      <c r="E127" s="29"/>
      <c r="F127" s="29"/>
      <c r="G127" s="29"/>
      <c r="H127" s="29"/>
      <c r="I127" s="29"/>
      <c r="J127" s="100"/>
      <c r="K127" s="100"/>
      <c r="L127" s="100"/>
      <c r="M127" s="100"/>
      <c r="N127" s="100"/>
      <c r="O127" s="100"/>
      <c r="P127" s="100"/>
      <c r="Q127" s="100"/>
    </row>
    <row r="128" spans="2:17" s="103" customFormat="1" ht="15.5" hidden="1" customHeight="1">
      <c r="B128" s="29"/>
      <c r="C128" s="29"/>
      <c r="D128" s="29"/>
      <c r="E128" s="29"/>
      <c r="F128" s="29"/>
      <c r="G128" s="29"/>
      <c r="H128" s="29"/>
      <c r="I128" s="29"/>
      <c r="J128" s="100"/>
      <c r="K128" s="100"/>
      <c r="L128" s="100"/>
      <c r="M128" s="100"/>
      <c r="N128" s="100"/>
      <c r="O128" s="100"/>
      <c r="P128" s="100"/>
      <c r="Q128" s="100"/>
    </row>
    <row r="129" spans="2:17" s="103" customFormat="1" ht="15.5" hidden="1" customHeight="1">
      <c r="B129" s="29"/>
      <c r="C129" s="29"/>
      <c r="D129" s="29"/>
      <c r="E129" s="29"/>
      <c r="F129" s="29"/>
      <c r="G129" s="29"/>
      <c r="H129" s="29"/>
      <c r="I129" s="29"/>
      <c r="J129" s="100"/>
      <c r="K129" s="100"/>
      <c r="L129" s="100"/>
      <c r="M129" s="100"/>
      <c r="N129" s="100"/>
      <c r="O129" s="100"/>
      <c r="P129" s="100"/>
      <c r="Q129" s="100"/>
    </row>
    <row r="130" spans="2:17" s="103" customFormat="1" ht="15.5" hidden="1" customHeight="1">
      <c r="B130" s="29"/>
      <c r="C130" s="29"/>
      <c r="D130" s="29"/>
      <c r="E130" s="29"/>
      <c r="F130" s="29"/>
      <c r="G130" s="29"/>
      <c r="H130" s="29"/>
      <c r="I130" s="29"/>
      <c r="J130" s="100"/>
      <c r="K130" s="100"/>
      <c r="L130" s="100"/>
      <c r="M130" s="100"/>
      <c r="N130" s="100"/>
      <c r="O130" s="100"/>
      <c r="P130" s="100"/>
      <c r="Q130" s="100"/>
    </row>
    <row r="131" spans="2:17" s="103" customFormat="1" ht="15.5" hidden="1" customHeight="1">
      <c r="B131" s="29"/>
      <c r="C131" s="29"/>
      <c r="D131" s="29"/>
      <c r="E131" s="29"/>
      <c r="F131" s="29"/>
      <c r="G131" s="29"/>
      <c r="H131" s="29"/>
      <c r="I131" s="29"/>
      <c r="J131" s="100"/>
      <c r="K131" s="100"/>
      <c r="L131" s="100"/>
      <c r="M131" s="100"/>
      <c r="N131" s="100"/>
      <c r="O131" s="100"/>
      <c r="P131" s="100"/>
      <c r="Q131" s="100"/>
    </row>
    <row r="132" spans="2:17" s="103" customFormat="1" ht="15.5" hidden="1" customHeight="1">
      <c r="B132" s="29"/>
      <c r="C132" s="29"/>
      <c r="D132" s="29"/>
      <c r="E132" s="29"/>
      <c r="F132" s="29"/>
      <c r="G132" s="29"/>
      <c r="H132" s="29"/>
      <c r="I132" s="29"/>
      <c r="J132" s="100"/>
      <c r="K132" s="100"/>
      <c r="L132" s="100"/>
      <c r="M132" s="100"/>
      <c r="N132" s="100"/>
      <c r="O132" s="100"/>
      <c r="P132" s="100"/>
      <c r="Q132" s="100"/>
    </row>
    <row r="133" spans="2:17" s="103" customFormat="1" ht="15.5" hidden="1" customHeight="1">
      <c r="B133" s="29"/>
      <c r="C133" s="29"/>
      <c r="D133" s="29"/>
      <c r="E133" s="29"/>
      <c r="F133" s="29"/>
      <c r="G133" s="29"/>
      <c r="H133" s="29"/>
      <c r="I133" s="29"/>
      <c r="J133" s="100"/>
      <c r="K133" s="100"/>
      <c r="L133" s="100"/>
      <c r="M133" s="100"/>
      <c r="N133" s="100"/>
      <c r="O133" s="100"/>
      <c r="P133" s="100"/>
      <c r="Q133" s="100"/>
    </row>
    <row r="134" spans="2:17" s="103" customFormat="1" ht="15.5" hidden="1" customHeight="1">
      <c r="B134" s="29"/>
      <c r="C134" s="29"/>
      <c r="D134" s="29"/>
      <c r="E134" s="29"/>
      <c r="F134" s="29"/>
      <c r="G134" s="29"/>
      <c r="H134" s="29"/>
      <c r="I134" s="29"/>
      <c r="J134" s="100"/>
      <c r="K134" s="100"/>
      <c r="L134" s="100"/>
      <c r="M134" s="100"/>
      <c r="N134" s="100"/>
      <c r="O134" s="100"/>
      <c r="P134" s="100"/>
      <c r="Q134" s="100"/>
    </row>
    <row r="135" spans="2:17" s="103" customFormat="1" ht="15.5" hidden="1" customHeight="1">
      <c r="B135" s="29"/>
      <c r="C135" s="29"/>
      <c r="D135" s="29"/>
      <c r="E135" s="29"/>
      <c r="F135" s="29"/>
      <c r="G135" s="29"/>
      <c r="H135" s="29"/>
      <c r="I135" s="29"/>
      <c r="J135" s="100"/>
      <c r="K135" s="100"/>
      <c r="L135" s="100"/>
      <c r="M135" s="100"/>
      <c r="N135" s="100"/>
      <c r="O135" s="100"/>
      <c r="P135" s="100"/>
      <c r="Q135" s="100"/>
    </row>
    <row r="136" spans="2:17" s="103" customFormat="1" ht="15.5" hidden="1" customHeight="1">
      <c r="B136" s="29"/>
      <c r="C136" s="29"/>
      <c r="D136" s="29"/>
      <c r="E136" s="29"/>
      <c r="F136" s="29"/>
      <c r="G136" s="29"/>
      <c r="H136" s="29"/>
      <c r="I136" s="29"/>
      <c r="J136" s="100"/>
      <c r="K136" s="100"/>
      <c r="L136" s="100"/>
      <c r="M136" s="100"/>
      <c r="N136" s="100"/>
      <c r="O136" s="100"/>
      <c r="P136" s="100"/>
      <c r="Q136" s="100"/>
    </row>
    <row r="137" spans="2:17" s="103" customFormat="1" ht="15.5" hidden="1" customHeight="1">
      <c r="B137" s="29"/>
      <c r="C137" s="29"/>
      <c r="D137" s="29"/>
      <c r="E137" s="29"/>
      <c r="F137" s="29"/>
      <c r="G137" s="29"/>
      <c r="H137" s="29"/>
      <c r="I137" s="29"/>
      <c r="J137" s="100"/>
      <c r="K137" s="100"/>
      <c r="L137" s="100"/>
      <c r="M137" s="100"/>
      <c r="N137" s="100"/>
      <c r="O137" s="100"/>
      <c r="P137" s="100"/>
      <c r="Q137" s="100"/>
    </row>
    <row r="138" spans="2:17" s="103" customFormat="1" ht="15.5" hidden="1" customHeight="1">
      <c r="B138" s="29"/>
      <c r="C138" s="29"/>
      <c r="D138" s="29"/>
      <c r="E138" s="29"/>
      <c r="F138" s="29"/>
      <c r="G138" s="29"/>
      <c r="H138" s="29"/>
      <c r="I138" s="29"/>
      <c r="J138" s="100"/>
      <c r="K138" s="100"/>
      <c r="L138" s="100"/>
      <c r="M138" s="100"/>
      <c r="N138" s="100"/>
      <c r="O138" s="100"/>
      <c r="P138" s="100"/>
      <c r="Q138" s="100"/>
    </row>
    <row r="139" spans="2:17" s="103" customFormat="1" ht="15.5" hidden="1" customHeight="1">
      <c r="B139" s="29"/>
      <c r="C139" s="29"/>
      <c r="D139" s="29"/>
      <c r="E139" s="29"/>
      <c r="F139" s="29"/>
      <c r="G139" s="29"/>
      <c r="H139" s="29"/>
      <c r="I139" s="29"/>
      <c r="J139" s="100"/>
      <c r="K139" s="100"/>
      <c r="L139" s="100"/>
      <c r="M139" s="100"/>
      <c r="N139" s="100"/>
      <c r="O139" s="100"/>
      <c r="P139" s="100"/>
      <c r="Q139" s="100"/>
    </row>
    <row r="140" spans="2:17" s="103" customFormat="1" ht="15.5" hidden="1" customHeight="1">
      <c r="B140" s="29"/>
      <c r="C140" s="29"/>
      <c r="D140" s="29"/>
      <c r="E140" s="29"/>
      <c r="F140" s="29"/>
      <c r="G140" s="29"/>
      <c r="H140" s="29"/>
      <c r="I140" s="29"/>
      <c r="J140" s="100"/>
      <c r="K140" s="100"/>
      <c r="L140" s="100"/>
      <c r="M140" s="100"/>
      <c r="N140" s="100"/>
      <c r="O140" s="100"/>
      <c r="P140" s="100"/>
      <c r="Q140" s="100"/>
    </row>
    <row r="141" spans="2:17" s="103" customFormat="1" ht="15.5" hidden="1" customHeight="1">
      <c r="B141" s="29"/>
      <c r="C141" s="29"/>
      <c r="D141" s="29"/>
      <c r="E141" s="29"/>
      <c r="F141" s="29"/>
      <c r="G141" s="29"/>
      <c r="H141" s="29"/>
      <c r="I141" s="29"/>
      <c r="J141" s="100"/>
      <c r="K141" s="100"/>
      <c r="L141" s="100"/>
      <c r="M141" s="100"/>
      <c r="N141" s="100"/>
      <c r="O141" s="100"/>
      <c r="P141" s="100"/>
      <c r="Q141" s="100"/>
    </row>
    <row r="142" spans="2:17" s="103" customFormat="1" ht="15.5" hidden="1" customHeight="1">
      <c r="B142" s="29"/>
      <c r="C142" s="29"/>
      <c r="D142" s="29"/>
      <c r="E142" s="29"/>
      <c r="F142" s="29"/>
      <c r="G142" s="29"/>
      <c r="H142" s="29"/>
      <c r="I142" s="29"/>
      <c r="J142" s="100"/>
      <c r="K142" s="100"/>
      <c r="L142" s="100"/>
      <c r="M142" s="100"/>
      <c r="N142" s="100"/>
      <c r="O142" s="100"/>
      <c r="P142" s="100"/>
      <c r="Q142" s="100"/>
    </row>
    <row r="143" spans="2:17" s="103" customFormat="1" ht="15.5" hidden="1" customHeight="1">
      <c r="B143" s="29"/>
      <c r="C143" s="29"/>
      <c r="D143" s="29"/>
      <c r="E143" s="29"/>
      <c r="F143" s="29"/>
      <c r="G143" s="29"/>
      <c r="H143" s="29"/>
      <c r="I143" s="29"/>
      <c r="J143" s="100"/>
      <c r="K143" s="100"/>
      <c r="L143" s="100"/>
      <c r="M143" s="100"/>
      <c r="N143" s="100"/>
      <c r="O143" s="100"/>
      <c r="P143" s="100"/>
      <c r="Q143" s="100"/>
    </row>
    <row r="144" spans="2:17" s="103" customFormat="1" ht="15.5" hidden="1" customHeight="1">
      <c r="B144" s="29"/>
      <c r="C144" s="29"/>
      <c r="D144" s="29"/>
      <c r="E144" s="29"/>
      <c r="F144" s="29"/>
      <c r="G144" s="29"/>
      <c r="H144" s="29"/>
      <c r="I144" s="29"/>
      <c r="J144" s="100"/>
      <c r="K144" s="100"/>
      <c r="L144" s="100"/>
      <c r="M144" s="100"/>
      <c r="N144" s="100"/>
      <c r="O144" s="100"/>
      <c r="P144" s="100"/>
      <c r="Q144" s="100"/>
    </row>
    <row r="145" spans="2:17" s="103" customFormat="1" ht="15.5" hidden="1" customHeight="1">
      <c r="B145" s="29"/>
      <c r="C145" s="29"/>
      <c r="D145" s="29"/>
      <c r="E145" s="29"/>
      <c r="F145" s="29"/>
      <c r="G145" s="29"/>
      <c r="H145" s="29"/>
      <c r="I145" s="29"/>
      <c r="J145" s="100"/>
      <c r="K145" s="100"/>
      <c r="L145" s="100"/>
      <c r="M145" s="100"/>
      <c r="N145" s="100"/>
      <c r="O145" s="100"/>
      <c r="P145" s="100"/>
      <c r="Q145" s="100"/>
    </row>
    <row r="146" spans="2:17" s="103" customFormat="1" ht="15.5" hidden="1" customHeight="1">
      <c r="B146" s="29"/>
      <c r="C146" s="29"/>
      <c r="D146" s="29"/>
      <c r="E146" s="29"/>
      <c r="F146" s="29"/>
      <c r="G146" s="29"/>
      <c r="H146" s="29"/>
      <c r="I146" s="29"/>
      <c r="J146" s="100"/>
      <c r="K146" s="100"/>
      <c r="L146" s="100"/>
      <c r="M146" s="100"/>
      <c r="N146" s="100"/>
      <c r="O146" s="100"/>
      <c r="P146" s="100"/>
      <c r="Q146" s="100"/>
    </row>
    <row r="147" spans="2:17" s="103" customFormat="1" ht="15.5" hidden="1" customHeight="1">
      <c r="B147" s="29"/>
      <c r="C147" s="29"/>
      <c r="D147" s="29"/>
      <c r="E147" s="29"/>
      <c r="F147" s="29"/>
      <c r="G147" s="29"/>
      <c r="H147" s="29"/>
      <c r="I147" s="29"/>
      <c r="J147" s="100"/>
      <c r="K147" s="100"/>
      <c r="L147" s="100"/>
      <c r="M147" s="100"/>
      <c r="N147" s="100"/>
      <c r="O147" s="100"/>
      <c r="P147" s="100"/>
      <c r="Q147" s="100"/>
    </row>
    <row r="148" spans="2:17" s="103" customFormat="1" ht="15.5" hidden="1" customHeight="1">
      <c r="B148" s="29"/>
      <c r="C148" s="29"/>
      <c r="D148" s="29"/>
      <c r="E148" s="29"/>
      <c r="F148" s="29"/>
      <c r="G148" s="29"/>
      <c r="H148" s="29"/>
      <c r="I148" s="29"/>
      <c r="J148" s="100"/>
      <c r="K148" s="100"/>
      <c r="L148" s="100"/>
      <c r="M148" s="100"/>
      <c r="N148" s="100"/>
      <c r="O148" s="100"/>
      <c r="P148" s="100"/>
      <c r="Q148" s="100"/>
    </row>
    <row r="149" spans="2:17" s="103" customFormat="1" ht="15.5" hidden="1" customHeight="1">
      <c r="B149" s="29"/>
      <c r="C149" s="29"/>
      <c r="D149" s="29"/>
      <c r="E149" s="29"/>
      <c r="F149" s="29"/>
      <c r="G149" s="29"/>
      <c r="H149" s="29"/>
      <c r="I149" s="29"/>
      <c r="J149" s="100"/>
      <c r="K149" s="100"/>
      <c r="L149" s="100"/>
      <c r="M149" s="100"/>
      <c r="N149" s="100"/>
      <c r="O149" s="100"/>
      <c r="P149" s="100"/>
      <c r="Q149" s="100"/>
    </row>
    <row r="150" spans="2:17" s="103" customFormat="1" ht="15.5" hidden="1" customHeight="1">
      <c r="B150" s="29"/>
      <c r="C150" s="29"/>
      <c r="D150" s="29"/>
      <c r="E150" s="29"/>
      <c r="F150" s="29"/>
      <c r="G150" s="29"/>
      <c r="H150" s="29"/>
      <c r="I150" s="29"/>
      <c r="J150" s="100"/>
      <c r="K150" s="100"/>
      <c r="L150" s="100"/>
      <c r="M150" s="100"/>
      <c r="N150" s="100"/>
      <c r="O150" s="100"/>
      <c r="P150" s="100"/>
      <c r="Q150" s="100"/>
    </row>
    <row r="151" spans="2:17" s="103" customFormat="1" ht="15.5" hidden="1" customHeight="1">
      <c r="B151" s="29"/>
      <c r="C151" s="29"/>
      <c r="D151" s="29"/>
      <c r="E151" s="29"/>
      <c r="F151" s="29"/>
      <c r="G151" s="29"/>
      <c r="H151" s="29"/>
      <c r="I151" s="29"/>
      <c r="J151" s="100"/>
      <c r="K151" s="100"/>
      <c r="L151" s="100"/>
      <c r="M151" s="100"/>
      <c r="N151" s="100"/>
      <c r="O151" s="100"/>
      <c r="P151" s="100"/>
      <c r="Q151" s="100"/>
    </row>
    <row r="152" spans="2:17" s="103" customFormat="1" ht="15.5" hidden="1" customHeight="1">
      <c r="B152" s="29"/>
      <c r="C152" s="29"/>
      <c r="D152" s="29"/>
      <c r="E152" s="29"/>
      <c r="F152" s="29"/>
      <c r="G152" s="29"/>
      <c r="H152" s="29"/>
      <c r="I152" s="29"/>
      <c r="J152" s="100"/>
      <c r="K152" s="100"/>
      <c r="L152" s="100"/>
      <c r="M152" s="100"/>
      <c r="N152" s="100"/>
      <c r="O152" s="100"/>
      <c r="P152" s="100"/>
      <c r="Q152" s="100"/>
    </row>
    <row r="153" spans="2:17" s="103" customFormat="1" ht="15.5" hidden="1" customHeight="1">
      <c r="B153" s="29"/>
      <c r="C153" s="29"/>
      <c r="D153" s="29"/>
      <c r="E153" s="29"/>
      <c r="F153" s="29"/>
      <c r="G153" s="29"/>
      <c r="H153" s="29"/>
      <c r="I153" s="29"/>
      <c r="J153" s="100"/>
      <c r="K153" s="100"/>
      <c r="L153" s="100"/>
      <c r="M153" s="100"/>
      <c r="N153" s="100"/>
      <c r="O153" s="100"/>
      <c r="P153" s="100"/>
      <c r="Q153" s="100"/>
    </row>
    <row r="154" spans="2:17" s="103" customFormat="1" ht="15.5" hidden="1" customHeight="1">
      <c r="B154" s="29"/>
      <c r="C154" s="29"/>
      <c r="D154" s="29"/>
      <c r="E154" s="29"/>
      <c r="F154" s="29"/>
      <c r="G154" s="29"/>
      <c r="H154" s="29"/>
      <c r="I154" s="29"/>
      <c r="J154" s="100"/>
      <c r="K154" s="100"/>
      <c r="L154" s="100"/>
      <c r="M154" s="100"/>
      <c r="N154" s="100"/>
      <c r="O154" s="100"/>
      <c r="P154" s="100"/>
      <c r="Q154" s="100"/>
    </row>
    <row r="155" spans="2:17" s="103" customFormat="1" ht="15.5" hidden="1" customHeight="1">
      <c r="B155" s="29"/>
      <c r="C155" s="29"/>
      <c r="D155" s="29"/>
      <c r="E155" s="29"/>
      <c r="F155" s="29"/>
      <c r="G155" s="29"/>
      <c r="H155" s="29"/>
      <c r="I155" s="29"/>
      <c r="J155" s="100"/>
      <c r="K155" s="100"/>
      <c r="L155" s="100"/>
      <c r="M155" s="100"/>
      <c r="N155" s="100"/>
      <c r="O155" s="100"/>
      <c r="P155" s="100"/>
      <c r="Q155" s="100"/>
    </row>
    <row r="156" spans="2:17" s="103" customFormat="1" ht="15.5" hidden="1" customHeight="1">
      <c r="B156" s="29"/>
      <c r="C156" s="29"/>
      <c r="D156" s="29"/>
      <c r="E156" s="29"/>
      <c r="F156" s="29"/>
      <c r="G156" s="29"/>
      <c r="H156" s="29"/>
      <c r="I156" s="29"/>
      <c r="J156" s="100"/>
      <c r="K156" s="100"/>
      <c r="L156" s="100"/>
      <c r="M156" s="100"/>
      <c r="N156" s="100"/>
      <c r="O156" s="100"/>
      <c r="P156" s="100"/>
      <c r="Q156" s="100"/>
    </row>
    <row r="157" spans="2:17" s="103" customFormat="1" ht="15.5" hidden="1" customHeight="1">
      <c r="B157" s="29"/>
      <c r="C157" s="29"/>
      <c r="D157" s="29"/>
      <c r="E157" s="29"/>
      <c r="F157" s="29"/>
      <c r="G157" s="29"/>
      <c r="H157" s="29"/>
      <c r="I157" s="29"/>
      <c r="J157" s="100"/>
      <c r="K157" s="100"/>
      <c r="L157" s="100"/>
      <c r="M157" s="100"/>
      <c r="N157" s="100"/>
      <c r="O157" s="100"/>
      <c r="P157" s="100"/>
      <c r="Q157" s="100"/>
    </row>
    <row r="158" spans="2:17" s="103" customFormat="1" ht="15.5" hidden="1" customHeight="1">
      <c r="B158" s="29"/>
      <c r="C158" s="29"/>
      <c r="D158" s="29"/>
      <c r="E158" s="29"/>
      <c r="F158" s="29"/>
      <c r="G158" s="29"/>
      <c r="H158" s="29"/>
      <c r="I158" s="29"/>
      <c r="J158" s="100"/>
      <c r="K158" s="100"/>
      <c r="L158" s="100"/>
      <c r="M158" s="100"/>
      <c r="N158" s="100"/>
      <c r="O158" s="100"/>
      <c r="P158" s="100"/>
      <c r="Q158" s="100"/>
    </row>
    <row r="159" spans="2:17" s="103" customFormat="1" ht="15.5" hidden="1" customHeight="1">
      <c r="B159" s="29"/>
      <c r="C159" s="29"/>
      <c r="D159" s="29"/>
      <c r="E159" s="29"/>
      <c r="F159" s="29"/>
      <c r="G159" s="29"/>
      <c r="H159" s="29"/>
      <c r="I159" s="29"/>
      <c r="J159" s="100"/>
      <c r="K159" s="100"/>
      <c r="L159" s="100"/>
      <c r="M159" s="100"/>
      <c r="N159" s="100"/>
      <c r="O159" s="100"/>
      <c r="P159" s="100"/>
      <c r="Q159" s="100"/>
    </row>
    <row r="160" spans="2:17" s="103" customFormat="1" ht="15.5" hidden="1" customHeight="1">
      <c r="B160" s="29"/>
      <c r="C160" s="29"/>
      <c r="D160" s="29"/>
      <c r="E160" s="29"/>
      <c r="F160" s="29"/>
      <c r="G160" s="29"/>
      <c r="H160" s="29"/>
      <c r="I160" s="29"/>
      <c r="J160" s="100"/>
      <c r="K160" s="100"/>
      <c r="L160" s="100"/>
      <c r="M160" s="100"/>
      <c r="N160" s="100"/>
      <c r="O160" s="100"/>
      <c r="P160" s="100"/>
      <c r="Q160" s="100"/>
    </row>
    <row r="161" spans="2:17" s="103" customFormat="1" ht="15.5" hidden="1" customHeight="1">
      <c r="B161" s="29"/>
      <c r="C161" s="29"/>
      <c r="D161" s="29"/>
      <c r="E161" s="29"/>
      <c r="F161" s="29"/>
      <c r="G161" s="29"/>
      <c r="H161" s="29"/>
      <c r="I161" s="29"/>
      <c r="J161" s="100"/>
      <c r="K161" s="100"/>
      <c r="L161" s="100"/>
      <c r="M161" s="100"/>
      <c r="N161" s="100"/>
      <c r="O161" s="100"/>
      <c r="P161" s="100"/>
      <c r="Q161" s="100"/>
    </row>
    <row r="162" spans="2:17" s="103" customFormat="1" ht="15.5" hidden="1" customHeight="1">
      <c r="B162" s="29"/>
      <c r="C162" s="29"/>
      <c r="D162" s="29"/>
      <c r="E162" s="29"/>
      <c r="F162" s="29"/>
      <c r="G162" s="29"/>
      <c r="H162" s="29"/>
      <c r="I162" s="29"/>
      <c r="J162" s="100"/>
      <c r="K162" s="100"/>
      <c r="L162" s="100"/>
      <c r="M162" s="100"/>
      <c r="N162" s="100"/>
      <c r="O162" s="100"/>
      <c r="P162" s="100"/>
      <c r="Q162" s="100"/>
    </row>
    <row r="163" spans="2:17" s="103" customFormat="1">
      <c r="B163" s="50" t="s">
        <v>147</v>
      </c>
      <c r="C163" s="51"/>
      <c r="D163" s="51"/>
      <c r="E163" s="51"/>
      <c r="F163" s="51"/>
      <c r="G163" s="23">
        <f>G24+G16+G10</f>
        <v>259460000</v>
      </c>
      <c r="H163" s="133"/>
      <c r="I163" s="133">
        <f>G163-(G14+G15)</f>
        <v>256500000</v>
      </c>
      <c r="J163" s="156"/>
      <c r="K163" s="100"/>
      <c r="L163" s="100"/>
      <c r="M163" s="100"/>
      <c r="N163" s="100"/>
      <c r="O163" s="100"/>
      <c r="P163" s="100"/>
      <c r="Q163" s="100"/>
    </row>
    <row r="164" spans="2:17" s="103" customFormat="1">
      <c r="B164"/>
      <c r="C164"/>
      <c r="D164"/>
      <c r="E164" s="71"/>
      <c r="F164"/>
      <c r="G164"/>
      <c r="H164"/>
      <c r="I164" s="29"/>
      <c r="J164" s="100"/>
      <c r="K164" s="100"/>
      <c r="L164" s="100"/>
      <c r="M164" s="100"/>
      <c r="N164" s="100"/>
      <c r="O164" s="100"/>
      <c r="P164" s="100"/>
      <c r="Q164" s="100"/>
    </row>
    <row r="165" spans="2:17">
      <c r="I165" s="148">
        <f>G163-2000</f>
        <v>259458000</v>
      </c>
      <c r="J165" s="158">
        <v>276958000</v>
      </c>
      <c r="K165" s="100">
        <f>J165-I165</f>
        <v>17500000</v>
      </c>
    </row>
    <row r="169" spans="2:17">
      <c r="I169" s="29">
        <v>15000</v>
      </c>
      <c r="J169" s="100">
        <v>25</v>
      </c>
      <c r="K169" s="100">
        <f>I169*J169</f>
        <v>375000</v>
      </c>
    </row>
    <row r="170" spans="2:17">
      <c r="I170" s="29">
        <v>35000</v>
      </c>
      <c r="K170" s="100">
        <f>I170*J169</f>
        <v>875000</v>
      </c>
    </row>
    <row r="171" spans="2:17">
      <c r="K171" s="100">
        <f>K169+K170</f>
        <v>1250000</v>
      </c>
    </row>
  </sheetData>
  <mergeCells count="8">
    <mergeCell ref="I6:K6"/>
    <mergeCell ref="B18:G18"/>
    <mergeCell ref="B2:G2"/>
    <mergeCell ref="B3:G3"/>
    <mergeCell ref="B6:G6"/>
    <mergeCell ref="B10:F10"/>
    <mergeCell ref="B11:G11"/>
    <mergeCell ref="B16:F16"/>
  </mergeCells>
  <pageMargins left="0.51181102362204722" right="0.31496062992125984" top="0.74803149606299213" bottom="0.35433070866141736" header="0.31496062992125984" footer="0.31496062992125984"/>
  <pageSetup scale="75" orientation="portrait" horizontalDpi="360" verticalDpi="360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8185-61CD-4173-A350-DA24490EE976}">
  <dimension ref="B2:U167"/>
  <sheetViews>
    <sheetView tabSelected="1" topLeftCell="A9" zoomScale="68" zoomScaleNormal="68" zoomScalePageLayoutView="85" workbookViewId="0">
      <selection activeCell="M23" sqref="M23"/>
    </sheetView>
  </sheetViews>
  <sheetFormatPr defaultColWidth="8.81640625" defaultRowHeight="15.5"/>
  <cols>
    <col min="1" max="1" width="3.08984375" customWidth="1"/>
    <col min="2" max="2" width="5" bestFit="1" customWidth="1"/>
    <col min="3" max="3" width="47.26953125" customWidth="1"/>
    <col min="4" max="4" width="9.54296875" customWidth="1"/>
    <col min="5" max="5" width="12.6328125" customWidth="1"/>
    <col min="6" max="6" width="19.90625" customWidth="1"/>
    <col min="7" max="7" width="18.36328125" customWidth="1"/>
    <col min="8" max="8" width="15.90625" style="29" customWidth="1"/>
    <col min="9" max="9" width="15.81640625" style="100" customWidth="1"/>
    <col min="10" max="10" width="14.1796875" style="100" customWidth="1"/>
    <col min="11" max="11" width="16" style="100" customWidth="1"/>
    <col min="12" max="12" width="31.81640625" style="100" customWidth="1"/>
    <col min="13" max="13" width="14.54296875" style="100" bestFit="1" customWidth="1"/>
    <col min="14" max="14" width="16.54296875" style="100" customWidth="1"/>
    <col min="15" max="16" width="8.81640625" style="100"/>
    <col min="17" max="17" width="15.7265625" style="103" customWidth="1"/>
    <col min="19" max="19" width="18" customWidth="1"/>
    <col min="21" max="21" width="16.1796875" customWidth="1"/>
    <col min="22" max="22" width="13.7265625" customWidth="1"/>
  </cols>
  <sheetData>
    <row r="2" spans="2:16">
      <c r="B2" s="192" t="s">
        <v>0</v>
      </c>
      <c r="C2" s="192"/>
      <c r="D2" s="192"/>
      <c r="E2" s="192"/>
      <c r="F2" s="192"/>
      <c r="G2" s="192"/>
      <c r="H2" s="55"/>
      <c r="I2" s="152"/>
    </row>
    <row r="3" spans="2:16">
      <c r="B3" s="192" t="s">
        <v>101</v>
      </c>
      <c r="C3" s="192"/>
      <c r="D3" s="192"/>
      <c r="E3" s="192"/>
      <c r="F3" s="192"/>
      <c r="G3" s="192"/>
      <c r="H3" s="55"/>
      <c r="I3" s="152"/>
    </row>
    <row r="4" spans="2:16">
      <c r="B4" s="55"/>
      <c r="C4" s="55"/>
      <c r="D4" s="55"/>
      <c r="E4" s="55"/>
      <c r="F4" s="55"/>
      <c r="G4" s="55"/>
      <c r="H4" s="55"/>
      <c r="I4" s="152"/>
    </row>
    <row r="5" spans="2:16">
      <c r="B5" s="3" t="s">
        <v>1</v>
      </c>
      <c r="C5" s="4" t="s">
        <v>146</v>
      </c>
      <c r="D5" s="5"/>
      <c r="E5" s="5"/>
      <c r="F5" s="5"/>
      <c r="G5" s="6" t="s">
        <v>78</v>
      </c>
      <c r="H5" s="128"/>
      <c r="I5" s="152"/>
    </row>
    <row r="6" spans="2:16">
      <c r="B6" s="189" t="s">
        <v>109</v>
      </c>
      <c r="C6" s="190"/>
      <c r="D6" s="190"/>
      <c r="E6" s="190"/>
      <c r="F6" s="190"/>
      <c r="G6" s="190"/>
      <c r="H6" s="200" t="s">
        <v>163</v>
      </c>
      <c r="I6" s="200"/>
      <c r="J6" s="200"/>
      <c r="K6" s="199" t="s">
        <v>10</v>
      </c>
      <c r="L6" s="199" t="s">
        <v>164</v>
      </c>
    </row>
    <row r="7" spans="2:16">
      <c r="B7" s="7" t="s">
        <v>3</v>
      </c>
      <c r="C7" s="7" t="s">
        <v>4</v>
      </c>
      <c r="D7" s="8" t="s">
        <v>5</v>
      </c>
      <c r="E7" s="9" t="s">
        <v>6</v>
      </c>
      <c r="F7" s="7" t="s">
        <v>7</v>
      </c>
      <c r="G7" s="9" t="s">
        <v>8</v>
      </c>
      <c r="H7" s="24" t="s">
        <v>157</v>
      </c>
      <c r="I7" s="169" t="s">
        <v>158</v>
      </c>
      <c r="J7" s="169" t="s">
        <v>159</v>
      </c>
      <c r="K7" s="199"/>
      <c r="L7" s="199"/>
    </row>
    <row r="8" spans="2:16">
      <c r="B8" s="10">
        <v>1</v>
      </c>
      <c r="C8" s="11" t="s">
        <v>58</v>
      </c>
      <c r="D8" s="12" t="s">
        <v>9</v>
      </c>
      <c r="E8" s="13">
        <v>10000</v>
      </c>
      <c r="F8" s="64">
        <v>10000</v>
      </c>
      <c r="G8" s="160">
        <f>F8*E8</f>
        <v>100000000</v>
      </c>
      <c r="H8" s="170">
        <v>49999000</v>
      </c>
      <c r="I8" s="171">
        <v>49999000</v>
      </c>
      <c r="J8" s="171"/>
      <c r="K8" s="172">
        <f>H8+I8+J8</f>
        <v>99998000</v>
      </c>
      <c r="L8" s="171"/>
    </row>
    <row r="9" spans="2:16">
      <c r="B9" s="10">
        <v>2</v>
      </c>
      <c r="C9" s="11" t="s">
        <v>77</v>
      </c>
      <c r="D9" s="12" t="s">
        <v>9</v>
      </c>
      <c r="E9" s="13">
        <v>15000</v>
      </c>
      <c r="F9" s="64">
        <v>7000</v>
      </c>
      <c r="G9" s="160">
        <f>F9*E9</f>
        <v>105000000</v>
      </c>
      <c r="H9" s="170">
        <v>42000000</v>
      </c>
      <c r="I9" s="171">
        <v>31500000</v>
      </c>
      <c r="J9" s="171">
        <v>31500000</v>
      </c>
      <c r="K9" s="172">
        <f>H9+I9+J9</f>
        <v>105000000</v>
      </c>
      <c r="L9" s="171"/>
    </row>
    <row r="10" spans="2:16">
      <c r="B10" s="193" t="s">
        <v>10</v>
      </c>
      <c r="C10" s="194"/>
      <c r="D10" s="194"/>
      <c r="E10" s="194"/>
      <c r="F10" s="195"/>
      <c r="G10" s="161">
        <f>SUM(G8:G9)</f>
        <v>205000000</v>
      </c>
      <c r="H10" s="173"/>
      <c r="I10" s="174"/>
      <c r="J10" s="175"/>
      <c r="K10" s="172"/>
      <c r="L10" s="171"/>
    </row>
    <row r="11" spans="2:16">
      <c r="B11" s="189" t="s">
        <v>11</v>
      </c>
      <c r="C11" s="190"/>
      <c r="D11" s="190"/>
      <c r="E11" s="190"/>
      <c r="F11" s="190"/>
      <c r="G11" s="190"/>
      <c r="H11" s="176"/>
      <c r="I11" s="177"/>
      <c r="J11" s="171"/>
      <c r="K11" s="172"/>
      <c r="L11" s="171"/>
    </row>
    <row r="12" spans="2:16">
      <c r="B12" s="7" t="s">
        <v>3</v>
      </c>
      <c r="C12" s="7" t="s">
        <v>4</v>
      </c>
      <c r="D12" s="7" t="s">
        <v>5</v>
      </c>
      <c r="E12" s="9" t="s">
        <v>6</v>
      </c>
      <c r="F12" s="7" t="s">
        <v>7</v>
      </c>
      <c r="G12" s="9" t="s">
        <v>8</v>
      </c>
      <c r="H12" s="178"/>
      <c r="I12" s="169"/>
      <c r="J12" s="172"/>
      <c r="K12" s="172"/>
      <c r="L12" s="171"/>
    </row>
    <row r="13" spans="2:16">
      <c r="B13" s="16">
        <v>1</v>
      </c>
      <c r="C13" s="12" t="s">
        <v>33</v>
      </c>
      <c r="D13" s="17" t="s">
        <v>9</v>
      </c>
      <c r="E13" s="13">
        <v>25000</v>
      </c>
      <c r="F13" s="121">
        <v>700</v>
      </c>
      <c r="G13" s="162">
        <f>F13*E13</f>
        <v>17500000</v>
      </c>
      <c r="H13" s="170">
        <v>17500000</v>
      </c>
      <c r="I13" s="171"/>
      <c r="J13" s="171"/>
      <c r="K13" s="172">
        <f>H13+I13+J13</f>
        <v>17500000</v>
      </c>
      <c r="L13" s="171"/>
    </row>
    <row r="14" spans="2:16" ht="31">
      <c r="B14" s="16">
        <v>2</v>
      </c>
      <c r="C14" s="18" t="s">
        <v>102</v>
      </c>
      <c r="D14" s="19" t="s">
        <v>14</v>
      </c>
      <c r="E14" s="20">
        <v>1</v>
      </c>
      <c r="F14" s="69">
        <v>2000000</v>
      </c>
      <c r="G14" s="163">
        <f>F14*E14</f>
        <v>2000000</v>
      </c>
      <c r="H14" s="170">
        <v>2960000</v>
      </c>
      <c r="I14" s="171"/>
      <c r="J14" s="179"/>
      <c r="K14" s="172">
        <f>H14+I14+J14</f>
        <v>2960000</v>
      </c>
      <c r="L14" s="171" t="s">
        <v>168</v>
      </c>
    </row>
    <row r="15" spans="2:16" s="103" customFormat="1">
      <c r="B15" s="16">
        <v>3</v>
      </c>
      <c r="C15" s="22" t="s">
        <v>79</v>
      </c>
      <c r="D15" s="19" t="s">
        <v>82</v>
      </c>
      <c r="E15" s="20">
        <v>32</v>
      </c>
      <c r="F15" s="21">
        <v>30000</v>
      </c>
      <c r="G15" s="163">
        <f>F15*E15</f>
        <v>960000</v>
      </c>
      <c r="H15" s="170"/>
      <c r="I15" s="171"/>
      <c r="J15" s="171"/>
      <c r="K15" s="172"/>
      <c r="L15" s="171"/>
      <c r="M15" s="100"/>
      <c r="N15" s="100"/>
      <c r="O15" s="100"/>
      <c r="P15" s="100"/>
    </row>
    <row r="16" spans="2:16" s="103" customFormat="1">
      <c r="B16" s="196" t="s">
        <v>10</v>
      </c>
      <c r="C16" s="197"/>
      <c r="D16" s="197"/>
      <c r="E16" s="197"/>
      <c r="F16" s="198"/>
      <c r="G16" s="164">
        <f>SUM(G13:G15)</f>
        <v>20460000</v>
      </c>
      <c r="H16" s="180"/>
      <c r="I16" s="179"/>
      <c r="J16" s="171"/>
      <c r="K16" s="172"/>
      <c r="L16" s="171"/>
      <c r="M16" s="100"/>
      <c r="N16" s="100"/>
      <c r="O16" s="100"/>
      <c r="P16" s="100"/>
    </row>
    <row r="17" spans="2:21" s="103" customFormat="1">
      <c r="B17" s="48"/>
      <c r="C17" s="49"/>
      <c r="D17" s="49"/>
      <c r="E17" s="49"/>
      <c r="F17" s="49"/>
      <c r="G17" s="165"/>
      <c r="H17" s="180"/>
      <c r="I17" s="179"/>
      <c r="J17" s="171"/>
      <c r="K17" s="172"/>
      <c r="L17" s="171"/>
      <c r="M17" s="100"/>
      <c r="N17" s="100"/>
      <c r="O17" s="100"/>
      <c r="P17" s="100"/>
    </row>
    <row r="18" spans="2:21" s="103" customFormat="1">
      <c r="B18" s="189" t="s">
        <v>110</v>
      </c>
      <c r="C18" s="190"/>
      <c r="D18" s="190"/>
      <c r="E18" s="190"/>
      <c r="F18" s="190"/>
      <c r="G18" s="190"/>
      <c r="H18" s="176"/>
      <c r="I18" s="177"/>
      <c r="J18" s="171"/>
      <c r="K18" s="171"/>
      <c r="L18" s="171"/>
      <c r="M18" s="100"/>
      <c r="N18" s="100"/>
      <c r="O18" s="100"/>
      <c r="P18" s="100"/>
    </row>
    <row r="19" spans="2:21" s="103" customFormat="1">
      <c r="B19" s="24" t="s">
        <v>3</v>
      </c>
      <c r="C19" s="24" t="s">
        <v>4</v>
      </c>
      <c r="D19" s="24" t="s">
        <v>59</v>
      </c>
      <c r="E19" s="24" t="s">
        <v>60</v>
      </c>
      <c r="F19" s="24" t="s">
        <v>16</v>
      </c>
      <c r="G19" s="9" t="s">
        <v>8</v>
      </c>
      <c r="H19" s="24"/>
      <c r="I19" s="169"/>
      <c r="J19" s="171"/>
      <c r="K19" s="171"/>
      <c r="L19" s="171"/>
      <c r="M19" s="100"/>
      <c r="N19" s="138"/>
      <c r="O19" s="138"/>
      <c r="P19" s="138"/>
      <c r="Q19" s="123"/>
      <c r="R19" s="123"/>
      <c r="S19" s="123"/>
      <c r="T19" s="123"/>
      <c r="U19" s="123"/>
    </row>
    <row r="20" spans="2:21" s="103" customFormat="1">
      <c r="B20" s="25">
        <v>1</v>
      </c>
      <c r="C20" s="19" t="s">
        <v>155</v>
      </c>
      <c r="D20" s="25">
        <v>20</v>
      </c>
      <c r="E20" s="125">
        <v>1</v>
      </c>
      <c r="F20" s="124">
        <v>100000</v>
      </c>
      <c r="G20" s="166">
        <f>D20*E20*F20</f>
        <v>2000000</v>
      </c>
      <c r="H20" s="181">
        <v>34000000</v>
      </c>
      <c r="I20" s="182"/>
      <c r="J20" s="171"/>
      <c r="K20" s="172">
        <f>H20</f>
        <v>34000000</v>
      </c>
      <c r="L20" s="171" t="s">
        <v>167</v>
      </c>
      <c r="M20" s="100"/>
      <c r="N20" s="138"/>
      <c r="O20" s="138"/>
      <c r="P20" s="138"/>
      <c r="Q20" s="123"/>
      <c r="R20" s="123"/>
      <c r="S20" s="123"/>
      <c r="T20" s="123"/>
      <c r="U20" s="123"/>
    </row>
    <row r="21" spans="2:21" s="103" customFormat="1">
      <c r="B21" s="16">
        <v>2</v>
      </c>
      <c r="C21" s="12" t="s">
        <v>55</v>
      </c>
      <c r="D21" s="25">
        <v>40</v>
      </c>
      <c r="E21" s="28">
        <v>2</v>
      </c>
      <c r="F21" s="122">
        <v>100000</v>
      </c>
      <c r="G21" s="167">
        <f>F21*E21*D21</f>
        <v>8000000</v>
      </c>
      <c r="H21" s="27"/>
      <c r="I21" s="182"/>
      <c r="J21" s="171"/>
      <c r="K21" s="171"/>
      <c r="L21" s="171"/>
      <c r="M21" s="100"/>
      <c r="N21" s="100"/>
      <c r="O21" s="100"/>
      <c r="P21" s="100"/>
    </row>
    <row r="22" spans="2:21" s="103" customFormat="1">
      <c r="B22" s="25">
        <v>3</v>
      </c>
      <c r="C22" s="68" t="s">
        <v>61</v>
      </c>
      <c r="D22" s="25">
        <v>40</v>
      </c>
      <c r="E22" s="28">
        <v>5</v>
      </c>
      <c r="F22" s="122">
        <v>100000</v>
      </c>
      <c r="G22" s="167">
        <f>F22*E22*D22</f>
        <v>20000000</v>
      </c>
      <c r="H22" s="27"/>
      <c r="I22" s="182"/>
      <c r="J22" s="171"/>
      <c r="K22" s="171"/>
      <c r="L22" s="171"/>
      <c r="M22" s="100"/>
      <c r="N22" s="100"/>
      <c r="O22" s="100"/>
      <c r="P22" s="100"/>
    </row>
    <row r="23" spans="2:21" s="103" customFormat="1">
      <c r="B23" s="16">
        <v>4</v>
      </c>
      <c r="C23" s="18" t="s">
        <v>62</v>
      </c>
      <c r="D23" s="25">
        <v>40</v>
      </c>
      <c r="E23" s="39">
        <v>1</v>
      </c>
      <c r="F23" s="122">
        <v>100000</v>
      </c>
      <c r="G23" s="167">
        <f>F23*E23*D23</f>
        <v>4000000</v>
      </c>
      <c r="H23" s="27"/>
      <c r="I23" s="182"/>
      <c r="J23" s="171"/>
      <c r="K23" s="171"/>
      <c r="L23" s="171"/>
      <c r="M23" s="100"/>
      <c r="N23" s="100"/>
      <c r="O23" s="100"/>
      <c r="P23" s="100"/>
    </row>
    <row r="24" spans="2:21" s="103" customFormat="1">
      <c r="B24" s="50" t="s">
        <v>10</v>
      </c>
      <c r="C24" s="51"/>
      <c r="D24" s="51"/>
      <c r="E24" s="51"/>
      <c r="F24" s="51"/>
      <c r="G24" s="168">
        <f>SUM(G20:G23)</f>
        <v>34000000</v>
      </c>
      <c r="H24" s="183"/>
      <c r="I24" s="179"/>
      <c r="J24" s="171"/>
      <c r="K24" s="171"/>
      <c r="L24" s="171"/>
      <c r="M24" s="100"/>
      <c r="N24" s="100"/>
      <c r="O24" s="100"/>
      <c r="P24" s="100"/>
    </row>
    <row r="25" spans="2:21" s="103" customFormat="1" ht="15.5" hidden="1" customHeight="1">
      <c r="B25" s="29"/>
      <c r="C25" s="29"/>
      <c r="D25" s="29"/>
      <c r="E25" s="29"/>
      <c r="F25" s="29"/>
      <c r="G25" s="29"/>
      <c r="H25" s="111"/>
      <c r="I25" s="171"/>
      <c r="J25" s="171"/>
      <c r="K25" s="171"/>
      <c r="L25" s="171"/>
      <c r="M25" s="100"/>
      <c r="N25" s="100"/>
      <c r="O25" s="100"/>
      <c r="P25" s="100"/>
    </row>
    <row r="26" spans="2:21" s="103" customFormat="1" ht="15.5" hidden="1" customHeight="1">
      <c r="B26" s="29"/>
      <c r="C26" s="29"/>
      <c r="D26" s="29"/>
      <c r="E26" s="29"/>
      <c r="F26" s="29"/>
      <c r="G26" s="29"/>
      <c r="H26" s="111"/>
      <c r="I26" s="171"/>
      <c r="J26" s="171"/>
      <c r="K26" s="171"/>
      <c r="L26" s="171"/>
      <c r="M26" s="100"/>
      <c r="N26" s="100"/>
      <c r="O26" s="100"/>
      <c r="P26" s="100"/>
    </row>
    <row r="27" spans="2:21" s="103" customFormat="1" ht="15.5" hidden="1" customHeight="1">
      <c r="B27" s="52" t="s">
        <v>23</v>
      </c>
      <c r="C27" s="52"/>
      <c r="D27" s="29"/>
      <c r="E27" s="29"/>
      <c r="F27" s="29"/>
      <c r="G27" s="29"/>
      <c r="H27" s="111"/>
      <c r="I27" s="171"/>
      <c r="J27" s="171"/>
      <c r="K27" s="171"/>
      <c r="L27" s="171"/>
      <c r="M27" s="100"/>
      <c r="N27" s="100"/>
      <c r="O27" s="100"/>
      <c r="P27" s="100"/>
    </row>
    <row r="28" spans="2:21" s="103" customFormat="1" ht="31.25" hidden="1" customHeight="1">
      <c r="B28" s="30" t="s">
        <v>3</v>
      </c>
      <c r="C28" s="30" t="s">
        <v>4</v>
      </c>
      <c r="D28" s="31" t="s">
        <v>5</v>
      </c>
      <c r="E28" s="32" t="s">
        <v>24</v>
      </c>
      <c r="F28" s="54"/>
      <c r="G28" s="29"/>
      <c r="H28" s="111"/>
      <c r="I28" s="171"/>
      <c r="J28" s="171"/>
      <c r="K28" s="171"/>
      <c r="L28" s="171"/>
      <c r="M28" s="100"/>
      <c r="N28" s="100"/>
      <c r="O28" s="100"/>
      <c r="P28" s="100"/>
    </row>
    <row r="29" spans="2:21" s="103" customFormat="1" ht="15.5" hidden="1" customHeight="1">
      <c r="B29" s="30" t="s">
        <v>17</v>
      </c>
      <c r="C29" s="33" t="s">
        <v>18</v>
      </c>
      <c r="D29" s="31"/>
      <c r="E29" s="24"/>
      <c r="F29" s="55"/>
      <c r="G29" s="29"/>
      <c r="H29" s="111"/>
      <c r="I29" s="171"/>
      <c r="J29" s="171"/>
      <c r="K29" s="171"/>
      <c r="L29" s="171"/>
      <c r="M29" s="100"/>
      <c r="N29" s="100"/>
      <c r="O29" s="100"/>
      <c r="P29" s="100"/>
    </row>
    <row r="30" spans="2:21" s="103" customFormat="1" ht="15.5" hidden="1" customHeight="1">
      <c r="B30" s="34">
        <v>1</v>
      </c>
      <c r="C30" s="35" t="s">
        <v>25</v>
      </c>
      <c r="D30" s="36" t="s">
        <v>19</v>
      </c>
      <c r="E30" s="37">
        <v>2</v>
      </c>
      <c r="F30" s="56"/>
      <c r="G30" s="29"/>
      <c r="H30" s="111"/>
      <c r="I30" s="171"/>
      <c r="J30" s="171"/>
      <c r="K30" s="171"/>
      <c r="L30" s="171"/>
      <c r="M30" s="100"/>
      <c r="N30" s="100"/>
      <c r="O30" s="100"/>
      <c r="P30" s="100"/>
    </row>
    <row r="31" spans="2:21" s="103" customFormat="1" ht="15.5" hidden="1" customHeight="1">
      <c r="B31" s="34">
        <v>2</v>
      </c>
      <c r="C31" s="38" t="s">
        <v>26</v>
      </c>
      <c r="D31" s="36" t="s">
        <v>19</v>
      </c>
      <c r="E31" s="39">
        <v>12</v>
      </c>
      <c r="F31" s="57"/>
      <c r="G31" s="29"/>
      <c r="H31" s="111"/>
      <c r="I31" s="171"/>
      <c r="J31" s="171"/>
      <c r="K31" s="171"/>
      <c r="L31" s="171"/>
      <c r="M31" s="100"/>
      <c r="N31" s="100"/>
      <c r="O31" s="100"/>
      <c r="P31" s="100"/>
    </row>
    <row r="32" spans="2:21" s="103" customFormat="1" ht="15.5" hidden="1" customHeight="1">
      <c r="B32" s="34">
        <v>3</v>
      </c>
      <c r="C32" s="40" t="s">
        <v>27</v>
      </c>
      <c r="D32" s="36" t="s">
        <v>19</v>
      </c>
      <c r="E32" s="39">
        <v>14</v>
      </c>
      <c r="F32" s="57"/>
      <c r="G32" s="29"/>
      <c r="H32" s="111"/>
      <c r="I32" s="171"/>
      <c r="J32" s="171"/>
      <c r="K32" s="171"/>
      <c r="L32" s="171"/>
      <c r="M32" s="100"/>
      <c r="N32" s="100"/>
      <c r="O32" s="100"/>
      <c r="P32" s="100"/>
    </row>
    <row r="33" spans="2:16" s="103" customFormat="1" ht="15.5" hidden="1" customHeight="1">
      <c r="B33" s="41" t="s">
        <v>20</v>
      </c>
      <c r="C33" s="42" t="s">
        <v>21</v>
      </c>
      <c r="D33" s="36"/>
      <c r="E33" s="25"/>
      <c r="F33" s="58"/>
      <c r="G33" s="29"/>
      <c r="H33" s="111"/>
      <c r="I33" s="171"/>
      <c r="J33" s="171"/>
      <c r="K33" s="171"/>
      <c r="L33" s="171"/>
      <c r="M33" s="100"/>
      <c r="N33" s="100"/>
      <c r="O33" s="100"/>
      <c r="P33" s="100"/>
    </row>
    <row r="34" spans="2:16" s="103" customFormat="1" ht="15.5" hidden="1" customHeight="1">
      <c r="B34" s="34">
        <v>1</v>
      </c>
      <c r="C34" s="43" t="s">
        <v>31</v>
      </c>
      <c r="D34" s="36" t="s">
        <v>19</v>
      </c>
      <c r="E34" s="39">
        <v>30</v>
      </c>
      <c r="F34" s="57"/>
      <c r="G34" s="29"/>
      <c r="H34" s="111"/>
      <c r="I34" s="171"/>
      <c r="J34" s="171"/>
      <c r="K34" s="171"/>
      <c r="L34" s="171"/>
      <c r="M34" s="100"/>
      <c r="N34" s="100"/>
      <c r="O34" s="100"/>
      <c r="P34" s="100"/>
    </row>
    <row r="35" spans="2:16" s="103" customFormat="1" ht="15.5" hidden="1" customHeight="1">
      <c r="B35" s="44" t="s">
        <v>22</v>
      </c>
      <c r="C35" s="45" t="s">
        <v>28</v>
      </c>
      <c r="D35" s="46" t="s">
        <v>19</v>
      </c>
      <c r="E35" s="47">
        <v>3</v>
      </c>
      <c r="F35" s="59"/>
      <c r="G35" s="29"/>
      <c r="H35" s="111"/>
      <c r="I35" s="171"/>
      <c r="J35" s="171"/>
      <c r="K35" s="171"/>
      <c r="L35" s="171"/>
      <c r="M35" s="100"/>
      <c r="N35" s="100"/>
      <c r="O35" s="100"/>
      <c r="P35" s="100"/>
    </row>
    <row r="36" spans="2:16" s="103" customFormat="1" ht="15.5" hidden="1" customHeight="1">
      <c r="B36" s="53" t="s">
        <v>29</v>
      </c>
      <c r="C36" s="53"/>
      <c r="D36" s="53"/>
      <c r="E36" s="53"/>
      <c r="F36" s="60"/>
      <c r="G36" s="29"/>
      <c r="H36" s="111"/>
      <c r="I36" s="171"/>
      <c r="J36" s="171"/>
      <c r="K36" s="171"/>
      <c r="L36" s="171"/>
      <c r="M36" s="100"/>
      <c r="N36" s="100"/>
      <c r="O36" s="100"/>
      <c r="P36" s="100"/>
    </row>
    <row r="37" spans="2:16" s="103" customFormat="1" ht="15.5" hidden="1" customHeight="1">
      <c r="B37" s="29"/>
      <c r="C37" s="29"/>
      <c r="D37" s="29"/>
      <c r="E37" s="29"/>
      <c r="F37" s="29"/>
      <c r="G37" s="29"/>
      <c r="H37" s="111"/>
      <c r="I37" s="171"/>
      <c r="J37" s="171"/>
      <c r="K37" s="171"/>
      <c r="L37" s="171"/>
      <c r="M37" s="100"/>
      <c r="N37" s="100"/>
      <c r="O37" s="100"/>
      <c r="P37" s="100"/>
    </row>
    <row r="38" spans="2:16" s="103" customFormat="1" ht="15.5" hidden="1" customHeight="1">
      <c r="B38" s="29"/>
      <c r="C38" s="29"/>
      <c r="D38" s="29"/>
      <c r="E38" s="29"/>
      <c r="F38" s="29"/>
      <c r="G38" s="29"/>
      <c r="H38" s="111"/>
      <c r="I38" s="171"/>
      <c r="J38" s="171"/>
      <c r="K38" s="171"/>
      <c r="L38" s="171"/>
      <c r="M38" s="100"/>
      <c r="N38" s="100"/>
      <c r="O38" s="100"/>
      <c r="P38" s="100"/>
    </row>
    <row r="39" spans="2:16" s="103" customFormat="1" ht="15.5" hidden="1" customHeight="1">
      <c r="B39" s="29"/>
      <c r="C39" s="29"/>
      <c r="D39" s="29"/>
      <c r="E39" s="29"/>
      <c r="F39" s="29"/>
      <c r="G39" s="29"/>
      <c r="H39" s="111"/>
      <c r="I39" s="171"/>
      <c r="J39" s="171"/>
      <c r="K39" s="171"/>
      <c r="L39" s="171"/>
      <c r="M39" s="100"/>
      <c r="N39" s="100"/>
      <c r="O39" s="100"/>
      <c r="P39" s="100"/>
    </row>
    <row r="40" spans="2:16" s="103" customFormat="1" ht="15.5" hidden="1" customHeight="1">
      <c r="B40" s="29"/>
      <c r="C40" s="29"/>
      <c r="D40" s="29"/>
      <c r="E40" s="29"/>
      <c r="F40" s="29"/>
      <c r="G40" s="29"/>
      <c r="H40" s="111"/>
      <c r="I40" s="171"/>
      <c r="J40" s="171"/>
      <c r="K40" s="171"/>
      <c r="L40" s="171"/>
      <c r="M40" s="100"/>
      <c r="N40" s="100"/>
      <c r="O40" s="100"/>
      <c r="P40" s="100"/>
    </row>
    <row r="41" spans="2:16" s="103" customFormat="1" ht="15.5" hidden="1" customHeight="1">
      <c r="B41" s="29"/>
      <c r="C41" s="29"/>
      <c r="D41" s="29"/>
      <c r="E41" s="29"/>
      <c r="F41" s="29"/>
      <c r="G41" s="29"/>
      <c r="H41" s="111"/>
      <c r="I41" s="171"/>
      <c r="J41" s="171"/>
      <c r="K41" s="171"/>
      <c r="L41" s="171"/>
      <c r="M41" s="100"/>
      <c r="N41" s="100"/>
      <c r="O41" s="100"/>
      <c r="P41" s="100"/>
    </row>
    <row r="42" spans="2:16" s="103" customFormat="1" ht="15.5" hidden="1" customHeight="1">
      <c r="B42" s="29"/>
      <c r="C42" s="29"/>
      <c r="D42" s="29"/>
      <c r="E42" s="29"/>
      <c r="F42" s="29"/>
      <c r="G42" s="29"/>
      <c r="H42" s="111"/>
      <c r="I42" s="171"/>
      <c r="J42" s="171"/>
      <c r="K42" s="171"/>
      <c r="L42" s="171"/>
      <c r="M42" s="100"/>
      <c r="N42" s="100"/>
      <c r="O42" s="100"/>
      <c r="P42" s="100"/>
    </row>
    <row r="43" spans="2:16" s="103" customFormat="1" ht="15.5" hidden="1" customHeight="1">
      <c r="B43" s="29"/>
      <c r="C43" s="29"/>
      <c r="D43" s="29"/>
      <c r="E43" s="29"/>
      <c r="F43" s="29"/>
      <c r="G43" s="29"/>
      <c r="H43" s="111"/>
      <c r="I43" s="171"/>
      <c r="J43" s="171"/>
      <c r="K43" s="171"/>
      <c r="L43" s="171"/>
      <c r="M43" s="100"/>
      <c r="N43" s="100"/>
      <c r="O43" s="100"/>
      <c r="P43" s="100"/>
    </row>
    <row r="44" spans="2:16" s="103" customFormat="1" ht="15.5" hidden="1" customHeight="1">
      <c r="B44" s="29"/>
      <c r="C44" s="29"/>
      <c r="D44" s="29"/>
      <c r="E44" s="29"/>
      <c r="F44" s="29"/>
      <c r="G44" s="29"/>
      <c r="H44" s="111"/>
      <c r="I44" s="171"/>
      <c r="J44" s="171"/>
      <c r="K44" s="171"/>
      <c r="L44" s="171"/>
      <c r="M44" s="100"/>
      <c r="N44" s="100"/>
      <c r="O44" s="100"/>
      <c r="P44" s="100"/>
    </row>
    <row r="45" spans="2:16" s="103" customFormat="1" ht="15.5" hidden="1" customHeight="1">
      <c r="B45" s="29"/>
      <c r="C45" s="29"/>
      <c r="D45" s="29"/>
      <c r="E45" s="29"/>
      <c r="F45" s="29"/>
      <c r="G45" s="29"/>
      <c r="H45" s="111"/>
      <c r="I45" s="171"/>
      <c r="J45" s="171"/>
      <c r="K45" s="171"/>
      <c r="L45" s="171"/>
      <c r="M45" s="100"/>
      <c r="N45" s="100"/>
      <c r="O45" s="100"/>
      <c r="P45" s="100"/>
    </row>
    <row r="46" spans="2:16" s="103" customFormat="1" ht="15.5" hidden="1" customHeight="1">
      <c r="B46" s="29"/>
      <c r="C46" s="29"/>
      <c r="D46" s="29"/>
      <c r="E46" s="29"/>
      <c r="F46" s="29"/>
      <c r="G46" s="29"/>
      <c r="H46" s="111"/>
      <c r="I46" s="171"/>
      <c r="J46" s="171"/>
      <c r="K46" s="171"/>
      <c r="L46" s="171"/>
      <c r="M46" s="100"/>
      <c r="N46" s="100"/>
      <c r="O46" s="100"/>
      <c r="P46" s="100"/>
    </row>
    <row r="47" spans="2:16" s="103" customFormat="1" ht="15.5" hidden="1" customHeight="1">
      <c r="B47" s="29"/>
      <c r="C47" s="29"/>
      <c r="D47" s="29"/>
      <c r="E47" s="29"/>
      <c r="F47" s="29"/>
      <c r="G47" s="29"/>
      <c r="H47" s="111"/>
      <c r="I47" s="171"/>
      <c r="J47" s="171"/>
      <c r="K47" s="171"/>
      <c r="L47" s="171"/>
      <c r="M47" s="100"/>
      <c r="N47" s="100"/>
      <c r="O47" s="100"/>
      <c r="P47" s="100"/>
    </row>
    <row r="48" spans="2:16" s="103" customFormat="1" ht="15.5" hidden="1" customHeight="1">
      <c r="B48" s="29"/>
      <c r="C48" s="29"/>
      <c r="D48" s="29"/>
      <c r="E48" s="29"/>
      <c r="F48" s="29"/>
      <c r="G48" s="29"/>
      <c r="H48" s="111"/>
      <c r="I48" s="171"/>
      <c r="J48" s="171"/>
      <c r="K48" s="171"/>
      <c r="L48" s="171"/>
      <c r="M48" s="100"/>
      <c r="N48" s="100"/>
      <c r="O48" s="100"/>
      <c r="P48" s="100"/>
    </row>
    <row r="49" spans="2:16" s="103" customFormat="1" ht="15.5" hidden="1" customHeight="1">
      <c r="B49" s="29"/>
      <c r="C49" s="29"/>
      <c r="D49" s="29"/>
      <c r="E49" s="29"/>
      <c r="F49" s="29"/>
      <c r="G49" s="29"/>
      <c r="H49" s="111"/>
      <c r="I49" s="171"/>
      <c r="J49" s="171"/>
      <c r="K49" s="171"/>
      <c r="L49" s="171"/>
      <c r="M49" s="100"/>
      <c r="N49" s="100"/>
      <c r="O49" s="100"/>
      <c r="P49" s="100"/>
    </row>
    <row r="50" spans="2:16" s="103" customFormat="1" ht="15.5" hidden="1" customHeight="1">
      <c r="B50" s="29"/>
      <c r="C50" s="29"/>
      <c r="D50" s="29"/>
      <c r="E50" s="29"/>
      <c r="F50" s="29"/>
      <c r="G50" s="29"/>
      <c r="H50" s="111"/>
      <c r="I50" s="171"/>
      <c r="J50" s="171"/>
      <c r="K50" s="171"/>
      <c r="L50" s="171"/>
      <c r="M50" s="100"/>
      <c r="N50" s="100"/>
      <c r="O50" s="100"/>
      <c r="P50" s="100"/>
    </row>
    <row r="51" spans="2:16" s="103" customFormat="1" ht="15.5" hidden="1" customHeight="1">
      <c r="B51" s="29"/>
      <c r="C51" s="29"/>
      <c r="D51" s="29"/>
      <c r="E51" s="29"/>
      <c r="F51" s="29"/>
      <c r="G51" s="29"/>
      <c r="H51" s="111"/>
      <c r="I51" s="171"/>
      <c r="J51" s="171"/>
      <c r="K51" s="171"/>
      <c r="L51" s="171"/>
      <c r="M51" s="100"/>
      <c r="N51" s="100"/>
      <c r="O51" s="100"/>
      <c r="P51" s="100"/>
    </row>
    <row r="52" spans="2:16" s="103" customFormat="1" ht="15.5" hidden="1" customHeight="1">
      <c r="B52" s="29"/>
      <c r="C52" s="29"/>
      <c r="D52" s="29"/>
      <c r="E52" s="29"/>
      <c r="F52" s="29"/>
      <c r="G52" s="29"/>
      <c r="H52" s="111"/>
      <c r="I52" s="171"/>
      <c r="J52" s="171"/>
      <c r="K52" s="171"/>
      <c r="L52" s="171"/>
      <c r="M52" s="100"/>
      <c r="N52" s="100"/>
      <c r="O52" s="100"/>
      <c r="P52" s="100"/>
    </row>
    <row r="53" spans="2:16" s="103" customFormat="1" ht="15.5" hidden="1" customHeight="1">
      <c r="B53" s="29"/>
      <c r="C53" s="29"/>
      <c r="D53" s="29"/>
      <c r="E53" s="29"/>
      <c r="F53" s="29"/>
      <c r="G53" s="29"/>
      <c r="H53" s="111"/>
      <c r="I53" s="171"/>
      <c r="J53" s="171"/>
      <c r="K53" s="171"/>
      <c r="L53" s="171"/>
      <c r="M53" s="100"/>
      <c r="N53" s="100"/>
      <c r="O53" s="100"/>
      <c r="P53" s="100"/>
    </row>
    <row r="54" spans="2:16" s="103" customFormat="1" ht="15.5" hidden="1" customHeight="1">
      <c r="B54" s="29"/>
      <c r="C54" s="29"/>
      <c r="D54" s="29"/>
      <c r="E54" s="29"/>
      <c r="F54" s="29"/>
      <c r="G54" s="29"/>
      <c r="H54" s="111"/>
      <c r="I54" s="171"/>
      <c r="J54" s="171"/>
      <c r="K54" s="171"/>
      <c r="L54" s="171"/>
      <c r="M54" s="100"/>
      <c r="N54" s="100"/>
      <c r="O54" s="100"/>
      <c r="P54" s="100"/>
    </row>
    <row r="55" spans="2:16" s="103" customFormat="1" ht="15.5" hidden="1" customHeight="1">
      <c r="B55" s="29"/>
      <c r="C55" s="29"/>
      <c r="D55" s="29"/>
      <c r="E55" s="29"/>
      <c r="F55" s="29"/>
      <c r="G55" s="29"/>
      <c r="H55" s="111"/>
      <c r="I55" s="171"/>
      <c r="J55" s="171"/>
      <c r="K55" s="171"/>
      <c r="L55" s="171"/>
      <c r="M55" s="100"/>
      <c r="N55" s="100"/>
      <c r="O55" s="100"/>
      <c r="P55" s="100"/>
    </row>
    <row r="56" spans="2:16" s="103" customFormat="1" ht="15.5" hidden="1" customHeight="1">
      <c r="B56" s="29"/>
      <c r="C56" s="29"/>
      <c r="D56" s="29"/>
      <c r="E56" s="29"/>
      <c r="F56" s="29"/>
      <c r="G56" s="29"/>
      <c r="H56" s="111"/>
      <c r="I56" s="171"/>
      <c r="J56" s="171"/>
      <c r="K56" s="171"/>
      <c r="L56" s="171"/>
      <c r="M56" s="100"/>
      <c r="N56" s="100"/>
      <c r="O56" s="100"/>
      <c r="P56" s="100"/>
    </row>
    <row r="57" spans="2:16" s="103" customFormat="1" ht="15.5" hidden="1" customHeight="1">
      <c r="B57" s="29"/>
      <c r="C57" s="29"/>
      <c r="D57" s="29"/>
      <c r="E57" s="29"/>
      <c r="F57" s="29"/>
      <c r="G57" s="29"/>
      <c r="H57" s="111"/>
      <c r="I57" s="171"/>
      <c r="J57" s="171"/>
      <c r="K57" s="171"/>
      <c r="L57" s="171"/>
      <c r="M57" s="100"/>
      <c r="N57" s="100"/>
      <c r="O57" s="100"/>
      <c r="P57" s="100"/>
    </row>
    <row r="58" spans="2:16" s="103" customFormat="1" ht="15.5" hidden="1" customHeight="1">
      <c r="B58" s="29"/>
      <c r="C58" s="29"/>
      <c r="D58" s="29"/>
      <c r="E58" s="29"/>
      <c r="F58" s="29"/>
      <c r="G58" s="29"/>
      <c r="H58" s="111"/>
      <c r="I58" s="171"/>
      <c r="J58" s="171"/>
      <c r="K58" s="171"/>
      <c r="L58" s="171"/>
      <c r="M58" s="100"/>
      <c r="N58" s="100"/>
      <c r="O58" s="100"/>
      <c r="P58" s="100"/>
    </row>
    <row r="59" spans="2:16" s="103" customFormat="1" ht="15.5" hidden="1" customHeight="1">
      <c r="B59" s="29"/>
      <c r="C59" s="29"/>
      <c r="D59" s="29"/>
      <c r="E59" s="29"/>
      <c r="F59" s="29"/>
      <c r="G59" s="29"/>
      <c r="H59" s="111"/>
      <c r="I59" s="171"/>
      <c r="J59" s="171"/>
      <c r="K59" s="171"/>
      <c r="L59" s="171"/>
      <c r="M59" s="100"/>
      <c r="N59" s="100"/>
      <c r="O59" s="100"/>
      <c r="P59" s="100"/>
    </row>
    <row r="60" spans="2:16" s="103" customFormat="1" ht="15.5" hidden="1" customHeight="1">
      <c r="B60" s="29"/>
      <c r="C60" s="29"/>
      <c r="D60" s="29"/>
      <c r="E60" s="29"/>
      <c r="F60" s="29"/>
      <c r="G60" s="29"/>
      <c r="H60" s="111"/>
      <c r="I60" s="171"/>
      <c r="J60" s="171"/>
      <c r="K60" s="171"/>
      <c r="L60" s="171"/>
      <c r="M60" s="100"/>
      <c r="N60" s="100"/>
      <c r="O60" s="100"/>
      <c r="P60" s="100"/>
    </row>
    <row r="61" spans="2:16" s="103" customFormat="1" ht="15.5" hidden="1" customHeight="1">
      <c r="B61" s="29"/>
      <c r="C61" s="29"/>
      <c r="D61" s="29"/>
      <c r="E61" s="29"/>
      <c r="F61" s="29"/>
      <c r="G61" s="29"/>
      <c r="H61" s="111"/>
      <c r="I61" s="171"/>
      <c r="J61" s="171"/>
      <c r="K61" s="171"/>
      <c r="L61" s="171"/>
      <c r="M61" s="100"/>
      <c r="N61" s="100"/>
      <c r="O61" s="100"/>
      <c r="P61" s="100"/>
    </row>
    <row r="62" spans="2:16" s="103" customFormat="1" ht="15.5" hidden="1" customHeight="1">
      <c r="B62" s="29"/>
      <c r="C62" s="29"/>
      <c r="D62" s="29"/>
      <c r="E62" s="29"/>
      <c r="F62" s="29"/>
      <c r="G62" s="29"/>
      <c r="H62" s="111"/>
      <c r="I62" s="171"/>
      <c r="J62" s="171"/>
      <c r="K62" s="171"/>
      <c r="L62" s="171"/>
      <c r="M62" s="100"/>
      <c r="N62" s="100"/>
      <c r="O62" s="100"/>
      <c r="P62" s="100"/>
    </row>
    <row r="63" spans="2:16" s="103" customFormat="1" ht="15.5" hidden="1" customHeight="1">
      <c r="B63" s="29"/>
      <c r="C63" s="29"/>
      <c r="D63" s="29"/>
      <c r="E63" s="29"/>
      <c r="F63" s="29"/>
      <c r="G63" s="29"/>
      <c r="H63" s="111"/>
      <c r="I63" s="171"/>
      <c r="J63" s="171"/>
      <c r="K63" s="171"/>
      <c r="L63" s="171"/>
      <c r="M63" s="100"/>
      <c r="N63" s="100"/>
      <c r="O63" s="100"/>
      <c r="P63" s="100"/>
    </row>
    <row r="64" spans="2:16" s="103" customFormat="1" ht="15.5" hidden="1" customHeight="1">
      <c r="B64" s="29"/>
      <c r="C64" s="29"/>
      <c r="D64" s="29"/>
      <c r="E64" s="29"/>
      <c r="F64" s="29"/>
      <c r="G64" s="29"/>
      <c r="H64" s="111"/>
      <c r="I64" s="171"/>
      <c r="J64" s="171"/>
      <c r="K64" s="171"/>
      <c r="L64" s="171"/>
      <c r="M64" s="100"/>
      <c r="N64" s="100"/>
      <c r="O64" s="100"/>
      <c r="P64" s="100"/>
    </row>
    <row r="65" spans="2:16" s="103" customFormat="1" ht="15.5" hidden="1" customHeight="1">
      <c r="B65" s="29"/>
      <c r="C65" s="29"/>
      <c r="D65" s="29"/>
      <c r="E65" s="29"/>
      <c r="F65" s="29"/>
      <c r="G65" s="29"/>
      <c r="H65" s="111"/>
      <c r="I65" s="171"/>
      <c r="J65" s="171"/>
      <c r="K65" s="171"/>
      <c r="L65" s="171"/>
      <c r="M65" s="100"/>
      <c r="N65" s="100"/>
      <c r="O65" s="100"/>
      <c r="P65" s="100"/>
    </row>
    <row r="66" spans="2:16" s="103" customFormat="1" ht="15.5" hidden="1" customHeight="1">
      <c r="B66" s="29"/>
      <c r="C66" s="29"/>
      <c r="D66" s="29"/>
      <c r="E66" s="29"/>
      <c r="F66" s="29"/>
      <c r="G66" s="29"/>
      <c r="H66" s="111"/>
      <c r="I66" s="171"/>
      <c r="J66" s="171"/>
      <c r="K66" s="171"/>
      <c r="L66" s="171"/>
      <c r="M66" s="100"/>
      <c r="N66" s="100"/>
      <c r="O66" s="100"/>
      <c r="P66" s="100"/>
    </row>
    <row r="67" spans="2:16" s="103" customFormat="1" ht="15.5" hidden="1" customHeight="1">
      <c r="B67" s="29"/>
      <c r="C67" s="29"/>
      <c r="D67" s="29"/>
      <c r="E67" s="29"/>
      <c r="F67" s="29"/>
      <c r="G67" s="29"/>
      <c r="H67" s="111"/>
      <c r="I67" s="171"/>
      <c r="J67" s="171"/>
      <c r="K67" s="171"/>
      <c r="L67" s="171"/>
      <c r="M67" s="100"/>
      <c r="N67" s="100"/>
      <c r="O67" s="100"/>
      <c r="P67" s="100"/>
    </row>
    <row r="68" spans="2:16" s="103" customFormat="1" ht="15.5" hidden="1" customHeight="1">
      <c r="B68" s="29"/>
      <c r="C68" s="29"/>
      <c r="D68" s="29"/>
      <c r="E68" s="29"/>
      <c r="F68" s="29"/>
      <c r="G68" s="29"/>
      <c r="H68" s="111"/>
      <c r="I68" s="171"/>
      <c r="J68" s="171"/>
      <c r="K68" s="171"/>
      <c r="L68" s="171"/>
      <c r="M68" s="100"/>
      <c r="N68" s="100"/>
      <c r="O68" s="100"/>
      <c r="P68" s="100"/>
    </row>
    <row r="69" spans="2:16" s="103" customFormat="1" ht="15.5" hidden="1" customHeight="1">
      <c r="B69" s="29"/>
      <c r="C69" s="29"/>
      <c r="D69" s="29"/>
      <c r="E69" s="29"/>
      <c r="F69" s="29"/>
      <c r="G69" s="29"/>
      <c r="H69" s="111"/>
      <c r="I69" s="171"/>
      <c r="J69" s="171"/>
      <c r="K69" s="171"/>
      <c r="L69" s="171"/>
      <c r="M69" s="100"/>
      <c r="N69" s="100"/>
      <c r="O69" s="100"/>
      <c r="P69" s="100"/>
    </row>
    <row r="70" spans="2:16" s="103" customFormat="1" ht="15.5" hidden="1" customHeight="1">
      <c r="B70" s="29"/>
      <c r="C70" s="29"/>
      <c r="D70" s="29"/>
      <c r="E70" s="29"/>
      <c r="F70" s="29"/>
      <c r="G70" s="29"/>
      <c r="H70" s="111"/>
      <c r="I70" s="171"/>
      <c r="J70" s="171"/>
      <c r="K70" s="171"/>
      <c r="L70" s="171"/>
      <c r="M70" s="100"/>
      <c r="N70" s="100"/>
      <c r="O70" s="100"/>
      <c r="P70" s="100"/>
    </row>
    <row r="71" spans="2:16" s="103" customFormat="1" ht="15.5" hidden="1" customHeight="1">
      <c r="B71" s="29"/>
      <c r="C71" s="29"/>
      <c r="D71" s="29"/>
      <c r="E71" s="29"/>
      <c r="F71" s="29"/>
      <c r="G71" s="29"/>
      <c r="H71" s="111"/>
      <c r="I71" s="171"/>
      <c r="J71" s="171"/>
      <c r="K71" s="171"/>
      <c r="L71" s="171"/>
      <c r="M71" s="100"/>
      <c r="N71" s="100"/>
      <c r="O71" s="100"/>
      <c r="P71" s="100"/>
    </row>
    <row r="72" spans="2:16" s="103" customFormat="1" ht="15.5" hidden="1" customHeight="1">
      <c r="B72" s="29"/>
      <c r="C72" s="29"/>
      <c r="D72" s="29"/>
      <c r="E72" s="29"/>
      <c r="F72" s="29"/>
      <c r="G72" s="29"/>
      <c r="H72" s="111"/>
      <c r="I72" s="171"/>
      <c r="J72" s="171"/>
      <c r="K72" s="171"/>
      <c r="L72" s="171"/>
      <c r="M72" s="100"/>
      <c r="N72" s="100"/>
      <c r="O72" s="100"/>
      <c r="P72" s="100"/>
    </row>
    <row r="73" spans="2:16" s="103" customFormat="1" ht="15.5" hidden="1" customHeight="1">
      <c r="B73" s="29"/>
      <c r="C73" s="29"/>
      <c r="D73" s="29"/>
      <c r="E73" s="29"/>
      <c r="F73" s="29"/>
      <c r="G73" s="29"/>
      <c r="H73" s="111"/>
      <c r="I73" s="171"/>
      <c r="J73" s="171"/>
      <c r="K73" s="171"/>
      <c r="L73" s="171"/>
      <c r="M73" s="100"/>
      <c r="N73" s="100"/>
      <c r="O73" s="100"/>
      <c r="P73" s="100"/>
    </row>
    <row r="74" spans="2:16" s="103" customFormat="1" ht="15.5" hidden="1" customHeight="1">
      <c r="B74" s="29"/>
      <c r="C74" s="29"/>
      <c r="D74" s="29"/>
      <c r="E74" s="29"/>
      <c r="F74" s="29"/>
      <c r="G74" s="29"/>
      <c r="H74" s="111"/>
      <c r="I74" s="171"/>
      <c r="J74" s="171"/>
      <c r="K74" s="171"/>
      <c r="L74" s="171"/>
      <c r="M74" s="100"/>
      <c r="N74" s="100"/>
      <c r="O74" s="100"/>
      <c r="P74" s="100"/>
    </row>
    <row r="75" spans="2:16" s="103" customFormat="1" ht="15.5" hidden="1" customHeight="1">
      <c r="B75" s="29"/>
      <c r="C75" s="29"/>
      <c r="D75" s="29"/>
      <c r="E75" s="29"/>
      <c r="F75" s="29"/>
      <c r="G75" s="29"/>
      <c r="H75" s="111"/>
      <c r="I75" s="171"/>
      <c r="J75" s="171"/>
      <c r="K75" s="171"/>
      <c r="L75" s="171"/>
      <c r="M75" s="100"/>
      <c r="N75" s="100"/>
      <c r="O75" s="100"/>
      <c r="P75" s="100"/>
    </row>
    <row r="76" spans="2:16" s="103" customFormat="1" ht="15.5" hidden="1" customHeight="1">
      <c r="B76" s="29"/>
      <c r="C76" s="29"/>
      <c r="D76" s="29"/>
      <c r="E76" s="29"/>
      <c r="F76" s="29"/>
      <c r="G76" s="29"/>
      <c r="H76" s="111"/>
      <c r="I76" s="171"/>
      <c r="J76" s="171"/>
      <c r="K76" s="171"/>
      <c r="L76" s="171"/>
      <c r="M76" s="100"/>
      <c r="N76" s="100"/>
      <c r="O76" s="100"/>
      <c r="P76" s="100"/>
    </row>
    <row r="77" spans="2:16" s="103" customFormat="1" ht="15.5" hidden="1" customHeight="1">
      <c r="B77" s="29"/>
      <c r="C77" s="29"/>
      <c r="D77" s="29"/>
      <c r="E77" s="29"/>
      <c r="F77" s="29"/>
      <c r="G77" s="29"/>
      <c r="H77" s="111"/>
      <c r="I77" s="171"/>
      <c r="J77" s="171"/>
      <c r="K77" s="171"/>
      <c r="L77" s="171"/>
      <c r="M77" s="100"/>
      <c r="N77" s="100"/>
      <c r="O77" s="100"/>
      <c r="P77" s="100"/>
    </row>
    <row r="78" spans="2:16" s="103" customFormat="1" ht="15.5" hidden="1" customHeight="1">
      <c r="B78" s="29"/>
      <c r="C78" s="29"/>
      <c r="D78" s="29"/>
      <c r="E78" s="29"/>
      <c r="F78" s="29"/>
      <c r="G78" s="29"/>
      <c r="H78" s="111"/>
      <c r="I78" s="171"/>
      <c r="J78" s="171"/>
      <c r="K78" s="171"/>
      <c r="L78" s="171"/>
      <c r="M78" s="100"/>
      <c r="N78" s="100"/>
      <c r="O78" s="100"/>
      <c r="P78" s="100"/>
    </row>
    <row r="79" spans="2:16" s="103" customFormat="1" ht="15.5" hidden="1" customHeight="1">
      <c r="B79" s="29"/>
      <c r="C79" s="29"/>
      <c r="D79" s="29"/>
      <c r="E79" s="29"/>
      <c r="F79" s="29"/>
      <c r="G79" s="29"/>
      <c r="H79" s="111"/>
      <c r="I79" s="171"/>
      <c r="J79" s="171"/>
      <c r="K79" s="171"/>
      <c r="L79" s="171"/>
      <c r="M79" s="100"/>
      <c r="N79" s="100"/>
      <c r="O79" s="100"/>
      <c r="P79" s="100"/>
    </row>
    <row r="80" spans="2:16" s="103" customFormat="1" ht="15.5" hidden="1" customHeight="1">
      <c r="B80" s="29"/>
      <c r="C80" s="29"/>
      <c r="D80" s="29"/>
      <c r="E80" s="29"/>
      <c r="F80" s="29"/>
      <c r="G80" s="29"/>
      <c r="H80" s="111"/>
      <c r="I80" s="171"/>
      <c r="J80" s="171"/>
      <c r="K80" s="171"/>
      <c r="L80" s="171"/>
      <c r="M80" s="100"/>
      <c r="N80" s="100"/>
      <c r="O80" s="100"/>
      <c r="P80" s="100"/>
    </row>
    <row r="81" spans="2:16" s="103" customFormat="1" ht="15.5" hidden="1" customHeight="1">
      <c r="B81" s="29"/>
      <c r="C81" s="29"/>
      <c r="D81" s="29"/>
      <c r="E81" s="29"/>
      <c r="F81" s="29"/>
      <c r="G81" s="29"/>
      <c r="H81" s="111"/>
      <c r="I81" s="171"/>
      <c r="J81" s="171"/>
      <c r="K81" s="171"/>
      <c r="L81" s="171"/>
      <c r="M81" s="100"/>
      <c r="N81" s="100"/>
      <c r="O81" s="100"/>
      <c r="P81" s="100"/>
    </row>
    <row r="82" spans="2:16" s="103" customFormat="1" ht="15.5" hidden="1" customHeight="1">
      <c r="B82" s="29"/>
      <c r="C82" s="29"/>
      <c r="D82" s="29"/>
      <c r="E82" s="29"/>
      <c r="F82" s="29"/>
      <c r="G82" s="29"/>
      <c r="H82" s="111"/>
      <c r="I82" s="171"/>
      <c r="J82" s="171"/>
      <c r="K82" s="171"/>
      <c r="L82" s="171"/>
      <c r="M82" s="100"/>
      <c r="N82" s="100"/>
      <c r="O82" s="100"/>
      <c r="P82" s="100"/>
    </row>
    <row r="83" spans="2:16" s="103" customFormat="1" ht="15.5" hidden="1" customHeight="1">
      <c r="B83" s="29"/>
      <c r="C83" s="29"/>
      <c r="D83" s="29"/>
      <c r="E83" s="29"/>
      <c r="F83" s="29"/>
      <c r="G83" s="29"/>
      <c r="H83" s="111"/>
      <c r="I83" s="171"/>
      <c r="J83" s="171"/>
      <c r="K83" s="171"/>
      <c r="L83" s="171"/>
      <c r="M83" s="100"/>
      <c r="N83" s="100"/>
      <c r="O83" s="100"/>
      <c r="P83" s="100"/>
    </row>
    <row r="84" spans="2:16" s="103" customFormat="1" ht="15.5" hidden="1" customHeight="1">
      <c r="B84" s="29"/>
      <c r="C84" s="29"/>
      <c r="D84" s="29"/>
      <c r="E84" s="29"/>
      <c r="F84" s="29"/>
      <c r="G84" s="29"/>
      <c r="H84" s="111"/>
      <c r="I84" s="171"/>
      <c r="J84" s="171"/>
      <c r="K84" s="171"/>
      <c r="L84" s="171"/>
      <c r="M84" s="100"/>
      <c r="N84" s="100"/>
      <c r="O84" s="100"/>
      <c r="P84" s="100"/>
    </row>
    <row r="85" spans="2:16" s="103" customFormat="1" ht="15.5" hidden="1" customHeight="1">
      <c r="B85" s="29"/>
      <c r="C85" s="29"/>
      <c r="D85" s="29"/>
      <c r="E85" s="29"/>
      <c r="F85" s="29"/>
      <c r="G85" s="29"/>
      <c r="H85" s="111"/>
      <c r="I85" s="171"/>
      <c r="J85" s="171"/>
      <c r="K85" s="171"/>
      <c r="L85" s="171"/>
      <c r="M85" s="100"/>
      <c r="N85" s="100"/>
      <c r="O85" s="100"/>
      <c r="P85" s="100"/>
    </row>
    <row r="86" spans="2:16" s="103" customFormat="1" ht="15.5" hidden="1" customHeight="1">
      <c r="B86" s="29"/>
      <c r="C86" s="29"/>
      <c r="D86" s="29"/>
      <c r="E86" s="29"/>
      <c r="F86" s="29"/>
      <c r="G86" s="29"/>
      <c r="H86" s="111"/>
      <c r="I86" s="171"/>
      <c r="J86" s="171"/>
      <c r="K86" s="171"/>
      <c r="L86" s="171"/>
      <c r="M86" s="100"/>
      <c r="N86" s="100"/>
      <c r="O86" s="100"/>
      <c r="P86" s="100"/>
    </row>
    <row r="87" spans="2:16" s="103" customFormat="1" ht="15.5" hidden="1" customHeight="1">
      <c r="B87" s="29"/>
      <c r="C87" s="29"/>
      <c r="D87" s="29"/>
      <c r="E87" s="29"/>
      <c r="F87" s="29"/>
      <c r="G87" s="29"/>
      <c r="H87" s="111"/>
      <c r="I87" s="171"/>
      <c r="J87" s="171"/>
      <c r="K87" s="171"/>
      <c r="L87" s="171"/>
      <c r="M87" s="100"/>
      <c r="N87" s="100"/>
      <c r="O87" s="100"/>
      <c r="P87" s="100"/>
    </row>
    <row r="88" spans="2:16" s="103" customFormat="1" ht="15.5" hidden="1" customHeight="1">
      <c r="B88" s="29"/>
      <c r="C88" s="29"/>
      <c r="D88" s="29"/>
      <c r="E88" s="29"/>
      <c r="F88" s="29"/>
      <c r="G88" s="29"/>
      <c r="H88" s="111"/>
      <c r="I88" s="171"/>
      <c r="J88" s="171"/>
      <c r="K88" s="171"/>
      <c r="L88" s="171"/>
      <c r="M88" s="100"/>
      <c r="N88" s="100"/>
      <c r="O88" s="100"/>
      <c r="P88" s="100"/>
    </row>
    <row r="89" spans="2:16" s="103" customFormat="1" ht="15.5" hidden="1" customHeight="1">
      <c r="B89" s="29"/>
      <c r="C89" s="29"/>
      <c r="D89" s="29"/>
      <c r="E89" s="29"/>
      <c r="F89" s="29"/>
      <c r="G89" s="29"/>
      <c r="H89" s="111"/>
      <c r="I89" s="171"/>
      <c r="J89" s="171"/>
      <c r="K89" s="171"/>
      <c r="L89" s="171"/>
      <c r="M89" s="100"/>
      <c r="N89" s="100"/>
      <c r="O89" s="100"/>
      <c r="P89" s="100"/>
    </row>
    <row r="90" spans="2:16" s="103" customFormat="1" ht="15.5" hidden="1" customHeight="1">
      <c r="B90" s="29"/>
      <c r="C90" s="29"/>
      <c r="D90" s="29"/>
      <c r="E90" s="29"/>
      <c r="F90" s="29"/>
      <c r="G90" s="29"/>
      <c r="H90" s="111"/>
      <c r="I90" s="171"/>
      <c r="J90" s="171"/>
      <c r="K90" s="171"/>
      <c r="L90" s="171"/>
      <c r="M90" s="100"/>
      <c r="N90" s="100"/>
      <c r="O90" s="100"/>
      <c r="P90" s="100"/>
    </row>
    <row r="91" spans="2:16" s="103" customFormat="1" ht="15.5" hidden="1" customHeight="1">
      <c r="B91" s="29"/>
      <c r="C91" s="29"/>
      <c r="D91" s="29"/>
      <c r="E91" s="29"/>
      <c r="F91" s="29"/>
      <c r="G91" s="29"/>
      <c r="H91" s="111"/>
      <c r="I91" s="171"/>
      <c r="J91" s="171"/>
      <c r="K91" s="171"/>
      <c r="L91" s="171"/>
      <c r="M91" s="100"/>
      <c r="N91" s="100"/>
      <c r="O91" s="100"/>
      <c r="P91" s="100"/>
    </row>
    <row r="92" spans="2:16" s="103" customFormat="1" ht="15.5" hidden="1" customHeight="1">
      <c r="B92" s="29"/>
      <c r="C92" s="29"/>
      <c r="D92" s="29"/>
      <c r="E92" s="29"/>
      <c r="F92" s="29"/>
      <c r="G92" s="29"/>
      <c r="H92" s="111"/>
      <c r="I92" s="171"/>
      <c r="J92" s="171"/>
      <c r="K92" s="171"/>
      <c r="L92" s="171"/>
      <c r="M92" s="100"/>
      <c r="N92" s="100"/>
      <c r="O92" s="100"/>
      <c r="P92" s="100"/>
    </row>
    <row r="93" spans="2:16" s="103" customFormat="1" ht="15.5" hidden="1" customHeight="1">
      <c r="B93" s="29"/>
      <c r="C93" s="29"/>
      <c r="D93" s="29"/>
      <c r="E93" s="29"/>
      <c r="F93" s="29"/>
      <c r="G93" s="29"/>
      <c r="H93" s="111"/>
      <c r="I93" s="171"/>
      <c r="J93" s="171"/>
      <c r="K93" s="171"/>
      <c r="L93" s="171"/>
      <c r="M93" s="100"/>
      <c r="N93" s="100"/>
      <c r="O93" s="100"/>
      <c r="P93" s="100"/>
    </row>
    <row r="94" spans="2:16" s="103" customFormat="1" ht="15.5" hidden="1" customHeight="1">
      <c r="B94" s="29"/>
      <c r="C94" s="29"/>
      <c r="D94" s="29"/>
      <c r="E94" s="29"/>
      <c r="F94" s="29"/>
      <c r="G94" s="29"/>
      <c r="H94" s="111"/>
      <c r="I94" s="171"/>
      <c r="J94" s="171"/>
      <c r="K94" s="171"/>
      <c r="L94" s="171"/>
      <c r="M94" s="100"/>
      <c r="N94" s="100"/>
      <c r="O94" s="100"/>
      <c r="P94" s="100"/>
    </row>
    <row r="95" spans="2:16" s="103" customFormat="1" ht="15.5" hidden="1" customHeight="1">
      <c r="B95" s="29"/>
      <c r="C95" s="29"/>
      <c r="D95" s="29"/>
      <c r="E95" s="29"/>
      <c r="F95" s="29"/>
      <c r="G95" s="29"/>
      <c r="H95" s="111"/>
      <c r="I95" s="171"/>
      <c r="J95" s="171"/>
      <c r="K95" s="171"/>
      <c r="L95" s="171"/>
      <c r="M95" s="100"/>
      <c r="N95" s="100"/>
      <c r="O95" s="100"/>
      <c r="P95" s="100"/>
    </row>
    <row r="96" spans="2:16" s="103" customFormat="1" ht="15.5" hidden="1" customHeight="1">
      <c r="B96" s="29"/>
      <c r="C96" s="29"/>
      <c r="D96" s="29"/>
      <c r="E96" s="29"/>
      <c r="F96" s="29"/>
      <c r="G96" s="29"/>
      <c r="H96" s="111"/>
      <c r="I96" s="171"/>
      <c r="J96" s="171"/>
      <c r="K96" s="171"/>
      <c r="L96" s="171"/>
      <c r="M96" s="100"/>
      <c r="N96" s="100"/>
      <c r="O96" s="100"/>
      <c r="P96" s="100"/>
    </row>
    <row r="97" spans="2:16" s="103" customFormat="1" ht="15.5" hidden="1" customHeight="1">
      <c r="B97" s="29"/>
      <c r="C97" s="29"/>
      <c r="D97" s="29"/>
      <c r="E97" s="29"/>
      <c r="F97" s="29"/>
      <c r="G97" s="29"/>
      <c r="H97" s="111"/>
      <c r="I97" s="171"/>
      <c r="J97" s="171"/>
      <c r="K97" s="171"/>
      <c r="L97" s="171"/>
      <c r="M97" s="100"/>
      <c r="N97" s="100"/>
      <c r="O97" s="100"/>
      <c r="P97" s="100"/>
    </row>
    <row r="98" spans="2:16" s="103" customFormat="1" ht="15.5" hidden="1" customHeight="1">
      <c r="B98" s="29"/>
      <c r="C98" s="29"/>
      <c r="D98" s="29"/>
      <c r="E98" s="29"/>
      <c r="F98" s="29"/>
      <c r="G98" s="29"/>
      <c r="H98" s="111"/>
      <c r="I98" s="171"/>
      <c r="J98" s="171"/>
      <c r="K98" s="171"/>
      <c r="L98" s="171"/>
      <c r="M98" s="100"/>
      <c r="N98" s="100"/>
      <c r="O98" s="100"/>
      <c r="P98" s="100"/>
    </row>
    <row r="99" spans="2:16" s="103" customFormat="1" ht="15.5" hidden="1" customHeight="1">
      <c r="B99" s="29"/>
      <c r="C99" s="29"/>
      <c r="D99" s="29"/>
      <c r="E99" s="29"/>
      <c r="F99" s="29"/>
      <c r="G99" s="29"/>
      <c r="H99" s="111"/>
      <c r="I99" s="171"/>
      <c r="J99" s="171"/>
      <c r="K99" s="171"/>
      <c r="L99" s="171"/>
      <c r="M99" s="100"/>
      <c r="N99" s="100"/>
      <c r="O99" s="100"/>
      <c r="P99" s="100"/>
    </row>
    <row r="100" spans="2:16" s="103" customFormat="1" ht="15.5" hidden="1" customHeight="1">
      <c r="B100" s="29"/>
      <c r="C100" s="29"/>
      <c r="D100" s="29"/>
      <c r="E100" s="29"/>
      <c r="F100" s="29"/>
      <c r="G100" s="29"/>
      <c r="H100" s="111"/>
      <c r="I100" s="171"/>
      <c r="J100" s="171"/>
      <c r="K100" s="171"/>
      <c r="L100" s="171"/>
      <c r="M100" s="100"/>
      <c r="N100" s="100"/>
      <c r="O100" s="100"/>
      <c r="P100" s="100"/>
    </row>
    <row r="101" spans="2:16" s="103" customFormat="1" ht="15.5" hidden="1" customHeight="1">
      <c r="B101" s="29"/>
      <c r="C101" s="29"/>
      <c r="D101" s="29"/>
      <c r="E101" s="29"/>
      <c r="F101" s="29"/>
      <c r="G101" s="29"/>
      <c r="H101" s="111"/>
      <c r="I101" s="171"/>
      <c r="J101" s="171"/>
      <c r="K101" s="171"/>
      <c r="L101" s="171"/>
      <c r="M101" s="100"/>
      <c r="N101" s="100"/>
      <c r="O101" s="100"/>
      <c r="P101" s="100"/>
    </row>
    <row r="102" spans="2:16" s="103" customFormat="1" ht="15.5" hidden="1" customHeight="1">
      <c r="B102" s="29"/>
      <c r="C102" s="29"/>
      <c r="D102" s="29"/>
      <c r="E102" s="29"/>
      <c r="F102" s="29"/>
      <c r="G102" s="29"/>
      <c r="H102" s="111"/>
      <c r="I102" s="171"/>
      <c r="J102" s="171"/>
      <c r="K102" s="171"/>
      <c r="L102" s="171"/>
      <c r="M102" s="100"/>
      <c r="N102" s="100"/>
      <c r="O102" s="100"/>
      <c r="P102" s="100"/>
    </row>
    <row r="103" spans="2:16" s="103" customFormat="1" ht="15.5" hidden="1" customHeight="1">
      <c r="B103" s="29"/>
      <c r="C103" s="29"/>
      <c r="D103" s="29"/>
      <c r="E103" s="29"/>
      <c r="F103" s="29"/>
      <c r="G103" s="29"/>
      <c r="H103" s="111"/>
      <c r="I103" s="171"/>
      <c r="J103" s="171"/>
      <c r="K103" s="171"/>
      <c r="L103" s="171"/>
      <c r="M103" s="100"/>
      <c r="N103" s="100"/>
      <c r="O103" s="100"/>
      <c r="P103" s="100"/>
    </row>
    <row r="104" spans="2:16" s="103" customFormat="1" ht="15.5" hidden="1" customHeight="1">
      <c r="B104" s="29"/>
      <c r="C104" s="29"/>
      <c r="D104" s="29"/>
      <c r="E104" s="29"/>
      <c r="F104" s="29"/>
      <c r="G104" s="29"/>
      <c r="H104" s="111"/>
      <c r="I104" s="171"/>
      <c r="J104" s="171"/>
      <c r="K104" s="171"/>
      <c r="L104" s="171"/>
      <c r="M104" s="100"/>
      <c r="N104" s="100"/>
      <c r="O104" s="100"/>
      <c r="P104" s="100"/>
    </row>
    <row r="105" spans="2:16" s="103" customFormat="1" ht="15.5" hidden="1" customHeight="1">
      <c r="B105" s="29"/>
      <c r="C105" s="29"/>
      <c r="D105" s="29"/>
      <c r="E105" s="29"/>
      <c r="F105" s="29"/>
      <c r="G105" s="29"/>
      <c r="H105" s="111"/>
      <c r="I105" s="171"/>
      <c r="J105" s="171"/>
      <c r="K105" s="171"/>
      <c r="L105" s="171"/>
      <c r="M105" s="100"/>
      <c r="N105" s="100"/>
      <c r="O105" s="100"/>
      <c r="P105" s="100"/>
    </row>
    <row r="106" spans="2:16" s="103" customFormat="1" ht="15.5" hidden="1" customHeight="1">
      <c r="B106" s="29"/>
      <c r="C106" s="29"/>
      <c r="D106" s="29"/>
      <c r="E106" s="29"/>
      <c r="F106" s="29"/>
      <c r="G106" s="29"/>
      <c r="H106" s="111"/>
      <c r="I106" s="171"/>
      <c r="J106" s="171"/>
      <c r="K106" s="171"/>
      <c r="L106" s="171"/>
      <c r="M106" s="100"/>
      <c r="N106" s="100"/>
      <c r="O106" s="100"/>
      <c r="P106" s="100"/>
    </row>
    <row r="107" spans="2:16" s="103" customFormat="1" ht="15.5" hidden="1" customHeight="1">
      <c r="B107" s="29"/>
      <c r="C107" s="29"/>
      <c r="D107" s="29"/>
      <c r="E107" s="29"/>
      <c r="F107" s="29"/>
      <c r="G107" s="29"/>
      <c r="H107" s="111"/>
      <c r="I107" s="171"/>
      <c r="J107" s="171"/>
      <c r="K107" s="171"/>
      <c r="L107" s="171"/>
      <c r="M107" s="100"/>
      <c r="N107" s="100"/>
      <c r="O107" s="100"/>
      <c r="P107" s="100"/>
    </row>
    <row r="108" spans="2:16" s="103" customFormat="1" ht="15.5" hidden="1" customHeight="1">
      <c r="B108" s="29"/>
      <c r="C108" s="29"/>
      <c r="D108" s="29"/>
      <c r="E108" s="29"/>
      <c r="F108" s="29"/>
      <c r="G108" s="29"/>
      <c r="H108" s="111"/>
      <c r="I108" s="171"/>
      <c r="J108" s="171"/>
      <c r="K108" s="171"/>
      <c r="L108" s="171"/>
      <c r="M108" s="100"/>
      <c r="N108" s="100"/>
      <c r="O108" s="100"/>
      <c r="P108" s="100"/>
    </row>
    <row r="109" spans="2:16" s="103" customFormat="1" ht="15.5" hidden="1" customHeight="1">
      <c r="B109" s="29"/>
      <c r="C109" s="29"/>
      <c r="D109" s="29"/>
      <c r="E109" s="29"/>
      <c r="F109" s="29"/>
      <c r="G109" s="29"/>
      <c r="H109" s="111"/>
      <c r="I109" s="171"/>
      <c r="J109" s="171"/>
      <c r="K109" s="171"/>
      <c r="L109" s="171"/>
      <c r="M109" s="100"/>
      <c r="N109" s="100"/>
      <c r="O109" s="100"/>
      <c r="P109" s="100"/>
    </row>
    <row r="110" spans="2:16" s="103" customFormat="1" ht="15.5" hidden="1" customHeight="1">
      <c r="B110" s="29"/>
      <c r="C110" s="29"/>
      <c r="D110" s="29"/>
      <c r="E110" s="29"/>
      <c r="F110" s="29"/>
      <c r="G110" s="29"/>
      <c r="H110" s="111"/>
      <c r="I110" s="171"/>
      <c r="J110" s="171"/>
      <c r="K110" s="171"/>
      <c r="L110" s="171"/>
      <c r="M110" s="100"/>
      <c r="N110" s="100"/>
      <c r="O110" s="100"/>
      <c r="P110" s="100"/>
    </row>
    <row r="111" spans="2:16" s="103" customFormat="1" ht="15.5" hidden="1" customHeight="1">
      <c r="B111" s="29"/>
      <c r="C111" s="29"/>
      <c r="D111" s="29"/>
      <c r="E111" s="29"/>
      <c r="F111" s="29"/>
      <c r="G111" s="29"/>
      <c r="H111" s="111"/>
      <c r="I111" s="171"/>
      <c r="J111" s="171"/>
      <c r="K111" s="171"/>
      <c r="L111" s="171"/>
      <c r="M111" s="100"/>
      <c r="N111" s="100"/>
      <c r="O111" s="100"/>
      <c r="P111" s="100"/>
    </row>
    <row r="112" spans="2:16" s="103" customFormat="1" ht="15.5" hidden="1" customHeight="1">
      <c r="B112" s="29"/>
      <c r="C112" s="29"/>
      <c r="D112" s="29"/>
      <c r="E112" s="29"/>
      <c r="F112" s="29"/>
      <c r="G112" s="29"/>
      <c r="H112" s="111"/>
      <c r="I112" s="171"/>
      <c r="J112" s="171"/>
      <c r="K112" s="171"/>
      <c r="L112" s="171"/>
      <c r="M112" s="100"/>
      <c r="N112" s="100"/>
      <c r="O112" s="100"/>
      <c r="P112" s="100"/>
    </row>
    <row r="113" spans="2:16" s="103" customFormat="1" ht="15.5" hidden="1" customHeight="1">
      <c r="B113" s="29"/>
      <c r="C113" s="29"/>
      <c r="D113" s="29"/>
      <c r="E113" s="29"/>
      <c r="F113" s="29"/>
      <c r="G113" s="29"/>
      <c r="H113" s="111"/>
      <c r="I113" s="171"/>
      <c r="J113" s="171"/>
      <c r="K113" s="171"/>
      <c r="L113" s="171"/>
      <c r="M113" s="100"/>
      <c r="N113" s="100"/>
      <c r="O113" s="100"/>
      <c r="P113" s="100"/>
    </row>
    <row r="114" spans="2:16" s="103" customFormat="1" ht="15.5" hidden="1" customHeight="1">
      <c r="B114" s="29"/>
      <c r="C114" s="29"/>
      <c r="D114" s="29"/>
      <c r="E114" s="29"/>
      <c r="F114" s="29"/>
      <c r="G114" s="29"/>
      <c r="H114" s="111"/>
      <c r="I114" s="171"/>
      <c r="J114" s="171"/>
      <c r="K114" s="171"/>
      <c r="L114" s="171"/>
      <c r="M114" s="100"/>
      <c r="N114" s="100"/>
      <c r="O114" s="100"/>
      <c r="P114" s="100"/>
    </row>
    <row r="115" spans="2:16" s="103" customFormat="1" ht="15.5" hidden="1" customHeight="1">
      <c r="B115" s="29"/>
      <c r="C115" s="29"/>
      <c r="D115" s="29"/>
      <c r="E115" s="29"/>
      <c r="F115" s="29"/>
      <c r="G115" s="29"/>
      <c r="H115" s="111"/>
      <c r="I115" s="171"/>
      <c r="J115" s="171"/>
      <c r="K115" s="171"/>
      <c r="L115" s="171"/>
      <c r="M115" s="100"/>
      <c r="N115" s="100"/>
      <c r="O115" s="100"/>
      <c r="P115" s="100"/>
    </row>
    <row r="116" spans="2:16" s="103" customFormat="1" ht="15.5" hidden="1" customHeight="1">
      <c r="B116" s="29"/>
      <c r="C116" s="29"/>
      <c r="D116" s="29"/>
      <c r="E116" s="29"/>
      <c r="F116" s="29"/>
      <c r="G116" s="29"/>
      <c r="H116" s="111"/>
      <c r="I116" s="171"/>
      <c r="J116" s="171"/>
      <c r="K116" s="171"/>
      <c r="L116" s="171"/>
      <c r="M116" s="100"/>
      <c r="N116" s="100"/>
      <c r="O116" s="100"/>
      <c r="P116" s="100"/>
    </row>
    <row r="117" spans="2:16" s="103" customFormat="1" ht="15.5" hidden="1" customHeight="1">
      <c r="B117" s="29"/>
      <c r="C117" s="29"/>
      <c r="D117" s="29"/>
      <c r="E117" s="29"/>
      <c r="F117" s="29"/>
      <c r="G117" s="29"/>
      <c r="H117" s="111"/>
      <c r="I117" s="171"/>
      <c r="J117" s="171"/>
      <c r="K117" s="171"/>
      <c r="L117" s="171"/>
      <c r="M117" s="100"/>
      <c r="N117" s="100"/>
      <c r="O117" s="100"/>
      <c r="P117" s="100"/>
    </row>
    <row r="118" spans="2:16" s="103" customFormat="1" ht="15.5" hidden="1" customHeight="1">
      <c r="B118" s="29"/>
      <c r="C118" s="29"/>
      <c r="D118" s="29"/>
      <c r="E118" s="29"/>
      <c r="F118" s="29"/>
      <c r="G118" s="29"/>
      <c r="H118" s="111"/>
      <c r="I118" s="171"/>
      <c r="J118" s="171"/>
      <c r="K118" s="171"/>
      <c r="L118" s="171"/>
      <c r="M118" s="100"/>
      <c r="N118" s="100"/>
      <c r="O118" s="100"/>
      <c r="P118" s="100"/>
    </row>
    <row r="119" spans="2:16" s="103" customFormat="1" ht="15.5" hidden="1" customHeight="1">
      <c r="B119" s="29"/>
      <c r="C119" s="29"/>
      <c r="D119" s="29"/>
      <c r="E119" s="29"/>
      <c r="F119" s="29"/>
      <c r="G119" s="29"/>
      <c r="H119" s="111"/>
      <c r="I119" s="171"/>
      <c r="J119" s="171"/>
      <c r="K119" s="171"/>
      <c r="L119" s="171"/>
      <c r="M119" s="100"/>
      <c r="N119" s="100"/>
      <c r="O119" s="100"/>
      <c r="P119" s="100"/>
    </row>
    <row r="120" spans="2:16" s="103" customFormat="1" ht="15.5" hidden="1" customHeight="1">
      <c r="B120" s="29"/>
      <c r="C120" s="29"/>
      <c r="D120" s="29"/>
      <c r="E120" s="29"/>
      <c r="F120" s="29"/>
      <c r="G120" s="29"/>
      <c r="H120" s="111"/>
      <c r="I120" s="171"/>
      <c r="J120" s="171"/>
      <c r="K120" s="171"/>
      <c r="L120" s="171"/>
      <c r="M120" s="100"/>
      <c r="N120" s="100"/>
      <c r="O120" s="100"/>
      <c r="P120" s="100"/>
    </row>
    <row r="121" spans="2:16" s="103" customFormat="1" ht="15.5" hidden="1" customHeight="1">
      <c r="B121" s="29"/>
      <c r="C121" s="29"/>
      <c r="D121" s="29"/>
      <c r="E121" s="29"/>
      <c r="F121" s="29"/>
      <c r="G121" s="29"/>
      <c r="H121" s="111"/>
      <c r="I121" s="171"/>
      <c r="J121" s="171"/>
      <c r="K121" s="171"/>
      <c r="L121" s="171"/>
      <c r="M121" s="100"/>
      <c r="N121" s="100"/>
      <c r="O121" s="100"/>
      <c r="P121" s="100"/>
    </row>
    <row r="122" spans="2:16" s="103" customFormat="1" ht="15.5" hidden="1" customHeight="1">
      <c r="B122" s="29"/>
      <c r="C122" s="29"/>
      <c r="D122" s="29"/>
      <c r="E122" s="29"/>
      <c r="F122" s="29"/>
      <c r="G122" s="29"/>
      <c r="H122" s="111"/>
      <c r="I122" s="171"/>
      <c r="J122" s="171"/>
      <c r="K122" s="171"/>
      <c r="L122" s="171"/>
      <c r="M122" s="100"/>
      <c r="N122" s="100"/>
      <c r="O122" s="100"/>
      <c r="P122" s="100"/>
    </row>
    <row r="123" spans="2:16" s="103" customFormat="1" ht="15.5" hidden="1" customHeight="1">
      <c r="B123" s="29"/>
      <c r="C123" s="29"/>
      <c r="D123" s="29"/>
      <c r="E123" s="29"/>
      <c r="F123" s="29"/>
      <c r="G123" s="29"/>
      <c r="H123" s="111"/>
      <c r="I123" s="171"/>
      <c r="J123" s="171"/>
      <c r="K123" s="171"/>
      <c r="L123" s="171"/>
      <c r="M123" s="100"/>
      <c r="N123" s="100"/>
      <c r="O123" s="100"/>
      <c r="P123" s="100"/>
    </row>
    <row r="124" spans="2:16" s="103" customFormat="1" ht="15.5" hidden="1" customHeight="1">
      <c r="B124" s="29"/>
      <c r="C124" s="29"/>
      <c r="D124" s="29"/>
      <c r="E124" s="29"/>
      <c r="F124" s="29"/>
      <c r="G124" s="29"/>
      <c r="H124" s="111"/>
      <c r="I124" s="171"/>
      <c r="J124" s="171"/>
      <c r="K124" s="171"/>
      <c r="L124" s="171"/>
      <c r="M124" s="100"/>
      <c r="N124" s="100"/>
      <c r="O124" s="100"/>
      <c r="P124" s="100"/>
    </row>
    <row r="125" spans="2:16" s="103" customFormat="1" ht="15.5" hidden="1" customHeight="1">
      <c r="B125" s="29"/>
      <c r="C125" s="29"/>
      <c r="D125" s="29"/>
      <c r="E125" s="29"/>
      <c r="F125" s="29"/>
      <c r="G125" s="29"/>
      <c r="H125" s="111"/>
      <c r="I125" s="171"/>
      <c r="J125" s="171"/>
      <c r="K125" s="171"/>
      <c r="L125" s="171"/>
      <c r="M125" s="100"/>
      <c r="N125" s="100"/>
      <c r="O125" s="100"/>
      <c r="P125" s="100"/>
    </row>
    <row r="126" spans="2:16" s="103" customFormat="1" ht="15.5" hidden="1" customHeight="1">
      <c r="B126" s="29"/>
      <c r="C126" s="29"/>
      <c r="D126" s="29"/>
      <c r="E126" s="29"/>
      <c r="F126" s="29"/>
      <c r="G126" s="29"/>
      <c r="H126" s="111"/>
      <c r="I126" s="171"/>
      <c r="J126" s="171"/>
      <c r="K126" s="171"/>
      <c r="L126" s="171"/>
      <c r="M126" s="100"/>
      <c r="N126" s="100"/>
      <c r="O126" s="100"/>
      <c r="P126" s="100"/>
    </row>
    <row r="127" spans="2:16" s="103" customFormat="1" ht="15.5" hidden="1" customHeight="1">
      <c r="B127" s="29"/>
      <c r="C127" s="29"/>
      <c r="D127" s="29"/>
      <c r="E127" s="29"/>
      <c r="F127" s="29"/>
      <c r="G127" s="29"/>
      <c r="H127" s="111"/>
      <c r="I127" s="171"/>
      <c r="J127" s="171"/>
      <c r="K127" s="171"/>
      <c r="L127" s="171"/>
      <c r="M127" s="100"/>
      <c r="N127" s="100"/>
      <c r="O127" s="100"/>
      <c r="P127" s="100"/>
    </row>
    <row r="128" spans="2:16" s="103" customFormat="1" ht="15.5" hidden="1" customHeight="1">
      <c r="B128" s="29"/>
      <c r="C128" s="29"/>
      <c r="D128" s="29"/>
      <c r="E128" s="29"/>
      <c r="F128" s="29"/>
      <c r="G128" s="29"/>
      <c r="H128" s="111"/>
      <c r="I128" s="171"/>
      <c r="J128" s="171"/>
      <c r="K128" s="171"/>
      <c r="L128" s="171"/>
      <c r="M128" s="100"/>
      <c r="N128" s="100"/>
      <c r="O128" s="100"/>
      <c r="P128" s="100"/>
    </row>
    <row r="129" spans="2:16" s="103" customFormat="1" ht="15.5" hidden="1" customHeight="1">
      <c r="B129" s="29"/>
      <c r="C129" s="29"/>
      <c r="D129" s="29"/>
      <c r="E129" s="29"/>
      <c r="F129" s="29"/>
      <c r="G129" s="29"/>
      <c r="H129" s="111"/>
      <c r="I129" s="171"/>
      <c r="J129" s="171"/>
      <c r="K129" s="171"/>
      <c r="L129" s="171"/>
      <c r="M129" s="100"/>
      <c r="N129" s="100"/>
      <c r="O129" s="100"/>
      <c r="P129" s="100"/>
    </row>
    <row r="130" spans="2:16" s="103" customFormat="1" ht="15.5" hidden="1" customHeight="1">
      <c r="B130" s="29"/>
      <c r="C130" s="29"/>
      <c r="D130" s="29"/>
      <c r="E130" s="29"/>
      <c r="F130" s="29"/>
      <c r="G130" s="29"/>
      <c r="H130" s="111"/>
      <c r="I130" s="171"/>
      <c r="J130" s="171"/>
      <c r="K130" s="171"/>
      <c r="L130" s="171"/>
      <c r="M130" s="100"/>
      <c r="N130" s="100"/>
      <c r="O130" s="100"/>
      <c r="P130" s="100"/>
    </row>
    <row r="131" spans="2:16" s="103" customFormat="1" ht="15.5" hidden="1" customHeight="1">
      <c r="B131" s="29"/>
      <c r="C131" s="29"/>
      <c r="D131" s="29"/>
      <c r="E131" s="29"/>
      <c r="F131" s="29"/>
      <c r="G131" s="29"/>
      <c r="H131" s="111"/>
      <c r="I131" s="171"/>
      <c r="J131" s="171"/>
      <c r="K131" s="171"/>
      <c r="L131" s="171"/>
      <c r="M131" s="100"/>
      <c r="N131" s="100"/>
      <c r="O131" s="100"/>
      <c r="P131" s="100"/>
    </row>
    <row r="132" spans="2:16" s="103" customFormat="1" ht="15.5" hidden="1" customHeight="1">
      <c r="B132" s="29"/>
      <c r="C132" s="29"/>
      <c r="D132" s="29"/>
      <c r="E132" s="29"/>
      <c r="F132" s="29"/>
      <c r="G132" s="29"/>
      <c r="H132" s="111"/>
      <c r="I132" s="171"/>
      <c r="J132" s="171"/>
      <c r="K132" s="171"/>
      <c r="L132" s="171"/>
      <c r="M132" s="100"/>
      <c r="N132" s="100"/>
      <c r="O132" s="100"/>
      <c r="P132" s="100"/>
    </row>
    <row r="133" spans="2:16" s="103" customFormat="1" ht="15.5" hidden="1" customHeight="1">
      <c r="B133" s="29"/>
      <c r="C133" s="29"/>
      <c r="D133" s="29"/>
      <c r="E133" s="29"/>
      <c r="F133" s="29"/>
      <c r="G133" s="29"/>
      <c r="H133" s="111"/>
      <c r="I133" s="171"/>
      <c r="J133" s="171"/>
      <c r="K133" s="171"/>
      <c r="L133" s="171"/>
      <c r="M133" s="100"/>
      <c r="N133" s="100"/>
      <c r="O133" s="100"/>
      <c r="P133" s="100"/>
    </row>
    <row r="134" spans="2:16" s="103" customFormat="1" ht="15.5" hidden="1" customHeight="1">
      <c r="B134" s="29"/>
      <c r="C134" s="29"/>
      <c r="D134" s="29"/>
      <c r="E134" s="29"/>
      <c r="F134" s="29"/>
      <c r="G134" s="29"/>
      <c r="H134" s="111"/>
      <c r="I134" s="171"/>
      <c r="J134" s="171"/>
      <c r="K134" s="171"/>
      <c r="L134" s="171"/>
      <c r="M134" s="100"/>
      <c r="N134" s="100"/>
      <c r="O134" s="100"/>
      <c r="P134" s="100"/>
    </row>
    <row r="135" spans="2:16" s="103" customFormat="1" ht="15.5" hidden="1" customHeight="1">
      <c r="B135" s="29"/>
      <c r="C135" s="29"/>
      <c r="D135" s="29"/>
      <c r="E135" s="29"/>
      <c r="F135" s="29"/>
      <c r="G135" s="29"/>
      <c r="H135" s="111"/>
      <c r="I135" s="171"/>
      <c r="J135" s="171"/>
      <c r="K135" s="171"/>
      <c r="L135" s="171"/>
      <c r="M135" s="100"/>
      <c r="N135" s="100"/>
      <c r="O135" s="100"/>
      <c r="P135" s="100"/>
    </row>
    <row r="136" spans="2:16" s="103" customFormat="1" ht="15.5" hidden="1" customHeight="1">
      <c r="B136" s="29"/>
      <c r="C136" s="29"/>
      <c r="D136" s="29"/>
      <c r="E136" s="29"/>
      <c r="F136" s="29"/>
      <c r="G136" s="29"/>
      <c r="H136" s="111"/>
      <c r="I136" s="171"/>
      <c r="J136" s="171"/>
      <c r="K136" s="171"/>
      <c r="L136" s="171"/>
      <c r="M136" s="100"/>
      <c r="N136" s="100"/>
      <c r="O136" s="100"/>
      <c r="P136" s="100"/>
    </row>
    <row r="137" spans="2:16" s="103" customFormat="1" ht="15.5" hidden="1" customHeight="1">
      <c r="B137" s="29"/>
      <c r="C137" s="29"/>
      <c r="D137" s="29"/>
      <c r="E137" s="29"/>
      <c r="F137" s="29"/>
      <c r="G137" s="29"/>
      <c r="H137" s="111"/>
      <c r="I137" s="171"/>
      <c r="J137" s="171"/>
      <c r="K137" s="171"/>
      <c r="L137" s="171"/>
      <c r="M137" s="100"/>
      <c r="N137" s="100"/>
      <c r="O137" s="100"/>
      <c r="P137" s="100"/>
    </row>
    <row r="138" spans="2:16" s="103" customFormat="1" ht="15.5" hidden="1" customHeight="1">
      <c r="B138" s="29"/>
      <c r="C138" s="29"/>
      <c r="D138" s="29"/>
      <c r="E138" s="29"/>
      <c r="F138" s="29"/>
      <c r="G138" s="29"/>
      <c r="H138" s="111"/>
      <c r="I138" s="171"/>
      <c r="J138" s="171"/>
      <c r="K138" s="171"/>
      <c r="L138" s="171"/>
      <c r="M138" s="100"/>
      <c r="N138" s="100"/>
      <c r="O138" s="100"/>
      <c r="P138" s="100"/>
    </row>
    <row r="139" spans="2:16" s="103" customFormat="1" ht="15.5" hidden="1" customHeight="1">
      <c r="B139" s="29"/>
      <c r="C139" s="29"/>
      <c r="D139" s="29"/>
      <c r="E139" s="29"/>
      <c r="F139" s="29"/>
      <c r="G139" s="29"/>
      <c r="H139" s="111"/>
      <c r="I139" s="171"/>
      <c r="J139" s="171"/>
      <c r="K139" s="171"/>
      <c r="L139" s="171"/>
      <c r="M139" s="100"/>
      <c r="N139" s="100"/>
      <c r="O139" s="100"/>
      <c r="P139" s="100"/>
    </row>
    <row r="140" spans="2:16" s="103" customFormat="1" ht="15.5" hidden="1" customHeight="1">
      <c r="B140" s="29"/>
      <c r="C140" s="29"/>
      <c r="D140" s="29"/>
      <c r="E140" s="29"/>
      <c r="F140" s="29"/>
      <c r="G140" s="29"/>
      <c r="H140" s="111"/>
      <c r="I140" s="171"/>
      <c r="J140" s="171"/>
      <c r="K140" s="171"/>
      <c r="L140" s="171"/>
      <c r="M140" s="100"/>
      <c r="N140" s="100"/>
      <c r="O140" s="100"/>
      <c r="P140" s="100"/>
    </row>
    <row r="141" spans="2:16" s="103" customFormat="1" ht="15.5" hidden="1" customHeight="1">
      <c r="B141" s="29"/>
      <c r="C141" s="29"/>
      <c r="D141" s="29"/>
      <c r="E141" s="29"/>
      <c r="F141" s="29"/>
      <c r="G141" s="29"/>
      <c r="H141" s="111"/>
      <c r="I141" s="171"/>
      <c r="J141" s="171"/>
      <c r="K141" s="171"/>
      <c r="L141" s="171"/>
      <c r="M141" s="100"/>
      <c r="N141" s="100"/>
      <c r="O141" s="100"/>
      <c r="P141" s="100"/>
    </row>
    <row r="142" spans="2:16" s="103" customFormat="1" ht="15.5" hidden="1" customHeight="1">
      <c r="B142" s="29"/>
      <c r="C142" s="29"/>
      <c r="D142" s="29"/>
      <c r="E142" s="29"/>
      <c r="F142" s="29"/>
      <c r="G142" s="29"/>
      <c r="H142" s="111"/>
      <c r="I142" s="171"/>
      <c r="J142" s="171"/>
      <c r="K142" s="171"/>
      <c r="L142" s="171"/>
      <c r="M142" s="100"/>
      <c r="N142" s="100"/>
      <c r="O142" s="100"/>
      <c r="P142" s="100"/>
    </row>
    <row r="143" spans="2:16" s="103" customFormat="1" ht="15.5" hidden="1" customHeight="1">
      <c r="B143" s="29"/>
      <c r="C143" s="29"/>
      <c r="D143" s="29"/>
      <c r="E143" s="29"/>
      <c r="F143" s="29"/>
      <c r="G143" s="29"/>
      <c r="H143" s="111"/>
      <c r="I143" s="171"/>
      <c r="J143" s="171"/>
      <c r="K143" s="171"/>
      <c r="L143" s="171"/>
      <c r="M143" s="100"/>
      <c r="N143" s="100"/>
      <c r="O143" s="100"/>
      <c r="P143" s="100"/>
    </row>
    <row r="144" spans="2:16" s="103" customFormat="1" ht="15.5" hidden="1" customHeight="1">
      <c r="B144" s="29"/>
      <c r="C144" s="29"/>
      <c r="D144" s="29"/>
      <c r="E144" s="29"/>
      <c r="F144" s="29"/>
      <c r="G144" s="29"/>
      <c r="H144" s="111"/>
      <c r="I144" s="171"/>
      <c r="J144" s="171"/>
      <c r="K144" s="171"/>
      <c r="L144" s="171"/>
      <c r="M144" s="100"/>
      <c r="N144" s="100"/>
      <c r="O144" s="100"/>
      <c r="P144" s="100"/>
    </row>
    <row r="145" spans="2:16" s="103" customFormat="1" ht="15.5" hidden="1" customHeight="1">
      <c r="B145" s="29"/>
      <c r="C145" s="29"/>
      <c r="D145" s="29"/>
      <c r="E145" s="29"/>
      <c r="F145" s="29"/>
      <c r="G145" s="29"/>
      <c r="H145" s="111"/>
      <c r="I145" s="171"/>
      <c r="J145" s="171"/>
      <c r="K145" s="171"/>
      <c r="L145" s="171"/>
      <c r="M145" s="100"/>
      <c r="N145" s="100"/>
      <c r="O145" s="100"/>
      <c r="P145" s="100"/>
    </row>
    <row r="146" spans="2:16" s="103" customFormat="1" ht="15.5" hidden="1" customHeight="1">
      <c r="B146" s="29"/>
      <c r="C146" s="29"/>
      <c r="D146" s="29"/>
      <c r="E146" s="29"/>
      <c r="F146" s="29"/>
      <c r="G146" s="29"/>
      <c r="H146" s="111"/>
      <c r="I146" s="171"/>
      <c r="J146" s="171"/>
      <c r="K146" s="171"/>
      <c r="L146" s="171"/>
      <c r="M146" s="100"/>
      <c r="N146" s="100"/>
      <c r="O146" s="100"/>
      <c r="P146" s="100"/>
    </row>
    <row r="147" spans="2:16" s="103" customFormat="1" ht="15.5" hidden="1" customHeight="1">
      <c r="B147" s="29"/>
      <c r="C147" s="29"/>
      <c r="D147" s="29"/>
      <c r="E147" s="29"/>
      <c r="F147" s="29"/>
      <c r="G147" s="29"/>
      <c r="H147" s="111"/>
      <c r="I147" s="171"/>
      <c r="J147" s="171"/>
      <c r="K147" s="171"/>
      <c r="L147" s="171"/>
      <c r="M147" s="100"/>
      <c r="N147" s="100"/>
      <c r="O147" s="100"/>
      <c r="P147" s="100"/>
    </row>
    <row r="148" spans="2:16" s="103" customFormat="1" ht="15.5" hidden="1" customHeight="1">
      <c r="B148" s="29"/>
      <c r="C148" s="29"/>
      <c r="D148" s="29"/>
      <c r="E148" s="29"/>
      <c r="F148" s="29"/>
      <c r="G148" s="29"/>
      <c r="H148" s="111"/>
      <c r="I148" s="171"/>
      <c r="J148" s="171"/>
      <c r="K148" s="171"/>
      <c r="L148" s="171"/>
      <c r="M148" s="100"/>
      <c r="N148" s="100"/>
      <c r="O148" s="100"/>
      <c r="P148" s="100"/>
    </row>
    <row r="149" spans="2:16" s="103" customFormat="1" ht="15.5" hidden="1" customHeight="1">
      <c r="B149" s="29"/>
      <c r="C149" s="29"/>
      <c r="D149" s="29"/>
      <c r="E149" s="29"/>
      <c r="F149" s="29"/>
      <c r="G149" s="29"/>
      <c r="H149" s="111"/>
      <c r="I149" s="171"/>
      <c r="J149" s="171"/>
      <c r="K149" s="171"/>
      <c r="L149" s="171"/>
      <c r="M149" s="100"/>
      <c r="N149" s="100"/>
      <c r="O149" s="100"/>
      <c r="P149" s="100"/>
    </row>
    <row r="150" spans="2:16" s="103" customFormat="1" ht="15.5" hidden="1" customHeight="1">
      <c r="B150" s="29"/>
      <c r="C150" s="29"/>
      <c r="D150" s="29"/>
      <c r="E150" s="29"/>
      <c r="F150" s="29"/>
      <c r="G150" s="29"/>
      <c r="H150" s="111"/>
      <c r="I150" s="171"/>
      <c r="J150" s="171"/>
      <c r="K150" s="171"/>
      <c r="L150" s="171"/>
      <c r="M150" s="100"/>
      <c r="N150" s="100"/>
      <c r="O150" s="100"/>
      <c r="P150" s="100"/>
    </row>
    <row r="151" spans="2:16" s="103" customFormat="1" ht="15.5" hidden="1" customHeight="1">
      <c r="B151" s="29"/>
      <c r="C151" s="29"/>
      <c r="D151" s="29"/>
      <c r="E151" s="29"/>
      <c r="F151" s="29"/>
      <c r="G151" s="29"/>
      <c r="H151" s="111"/>
      <c r="I151" s="171"/>
      <c r="J151" s="171"/>
      <c r="K151" s="171"/>
      <c r="L151" s="171"/>
      <c r="M151" s="100"/>
      <c r="N151" s="100"/>
      <c r="O151" s="100"/>
      <c r="P151" s="100"/>
    </row>
    <row r="152" spans="2:16" s="103" customFormat="1" ht="15.5" hidden="1" customHeight="1">
      <c r="B152" s="29"/>
      <c r="C152" s="29"/>
      <c r="D152" s="29"/>
      <c r="E152" s="29"/>
      <c r="F152" s="29"/>
      <c r="G152" s="29"/>
      <c r="H152" s="111"/>
      <c r="I152" s="171"/>
      <c r="J152" s="171"/>
      <c r="K152" s="171"/>
      <c r="L152" s="171"/>
      <c r="M152" s="100"/>
      <c r="N152" s="100"/>
      <c r="O152" s="100"/>
      <c r="P152" s="100"/>
    </row>
    <row r="153" spans="2:16" s="103" customFormat="1" ht="15.5" hidden="1" customHeight="1">
      <c r="B153" s="29"/>
      <c r="C153" s="29"/>
      <c r="D153" s="29"/>
      <c r="E153" s="29"/>
      <c r="F153" s="29"/>
      <c r="G153" s="29"/>
      <c r="H153" s="111"/>
      <c r="I153" s="171"/>
      <c r="J153" s="171"/>
      <c r="K153" s="171"/>
      <c r="L153" s="171"/>
      <c r="M153" s="100"/>
      <c r="N153" s="100"/>
      <c r="O153" s="100"/>
      <c r="P153" s="100"/>
    </row>
    <row r="154" spans="2:16" s="103" customFormat="1" ht="15.5" hidden="1" customHeight="1">
      <c r="B154" s="29"/>
      <c r="C154" s="29"/>
      <c r="D154" s="29"/>
      <c r="E154" s="29"/>
      <c r="F154" s="29"/>
      <c r="G154" s="29"/>
      <c r="H154" s="111"/>
      <c r="I154" s="171"/>
      <c r="J154" s="171"/>
      <c r="K154" s="171"/>
      <c r="L154" s="171"/>
      <c r="M154" s="100"/>
      <c r="N154" s="100"/>
      <c r="O154" s="100"/>
      <c r="P154" s="100"/>
    </row>
    <row r="155" spans="2:16" s="103" customFormat="1" ht="15.5" hidden="1" customHeight="1">
      <c r="B155" s="29"/>
      <c r="C155" s="29"/>
      <c r="D155" s="29"/>
      <c r="E155" s="29"/>
      <c r="F155" s="29"/>
      <c r="G155" s="29"/>
      <c r="H155" s="111"/>
      <c r="I155" s="171"/>
      <c r="J155" s="171"/>
      <c r="K155" s="171"/>
      <c r="L155" s="171"/>
      <c r="M155" s="100"/>
      <c r="N155" s="100"/>
      <c r="O155" s="100"/>
      <c r="P155" s="100"/>
    </row>
    <row r="156" spans="2:16" s="103" customFormat="1" ht="15.5" hidden="1" customHeight="1">
      <c r="B156" s="29"/>
      <c r="C156" s="29"/>
      <c r="D156" s="29"/>
      <c r="E156" s="29"/>
      <c r="F156" s="29"/>
      <c r="G156" s="29"/>
      <c r="H156" s="111"/>
      <c r="I156" s="171"/>
      <c r="J156" s="171"/>
      <c r="K156" s="171"/>
      <c r="L156" s="171"/>
      <c r="M156" s="100"/>
      <c r="N156" s="100"/>
      <c r="O156" s="100"/>
      <c r="P156" s="100"/>
    </row>
    <row r="157" spans="2:16" s="103" customFormat="1" ht="15.5" hidden="1" customHeight="1">
      <c r="B157" s="29"/>
      <c r="C157" s="29"/>
      <c r="D157" s="29"/>
      <c r="E157" s="29"/>
      <c r="F157" s="29"/>
      <c r="G157" s="29"/>
      <c r="H157" s="111"/>
      <c r="I157" s="171"/>
      <c r="J157" s="171"/>
      <c r="K157" s="171"/>
      <c r="L157" s="171"/>
      <c r="M157" s="100"/>
      <c r="N157" s="100"/>
      <c r="O157" s="100"/>
      <c r="P157" s="100"/>
    </row>
    <row r="158" spans="2:16" s="103" customFormat="1" ht="15.5" hidden="1" customHeight="1">
      <c r="B158" s="29"/>
      <c r="C158" s="29"/>
      <c r="D158" s="29"/>
      <c r="E158" s="29"/>
      <c r="F158" s="29"/>
      <c r="G158" s="29"/>
      <c r="H158" s="111"/>
      <c r="I158" s="171"/>
      <c r="J158" s="171"/>
      <c r="K158" s="171"/>
      <c r="L158" s="171"/>
      <c r="M158" s="100"/>
      <c r="N158" s="100"/>
      <c r="O158" s="100"/>
      <c r="P158" s="100"/>
    </row>
    <row r="159" spans="2:16" s="103" customFormat="1" ht="15.5" hidden="1" customHeight="1">
      <c r="B159" s="29"/>
      <c r="C159" s="29"/>
      <c r="D159" s="29"/>
      <c r="E159" s="29"/>
      <c r="F159" s="29"/>
      <c r="G159" s="29"/>
      <c r="H159" s="111"/>
      <c r="I159" s="171"/>
      <c r="J159" s="171"/>
      <c r="K159" s="171"/>
      <c r="L159" s="171"/>
      <c r="M159" s="100"/>
      <c r="N159" s="100"/>
      <c r="O159" s="100"/>
      <c r="P159" s="100"/>
    </row>
    <row r="160" spans="2:16" s="103" customFormat="1" ht="15.5" hidden="1" customHeight="1">
      <c r="B160" s="29"/>
      <c r="C160" s="29"/>
      <c r="D160" s="29"/>
      <c r="E160" s="29"/>
      <c r="F160" s="29"/>
      <c r="G160" s="29"/>
      <c r="H160" s="111"/>
      <c r="I160" s="171"/>
      <c r="J160" s="171"/>
      <c r="K160" s="171"/>
      <c r="L160" s="171"/>
      <c r="M160" s="100"/>
      <c r="N160" s="100"/>
      <c r="O160" s="100"/>
      <c r="P160" s="100"/>
    </row>
    <row r="161" spans="2:16" s="103" customFormat="1" ht="15.5" hidden="1" customHeight="1">
      <c r="B161" s="29"/>
      <c r="C161" s="29"/>
      <c r="D161" s="29"/>
      <c r="E161" s="29"/>
      <c r="F161" s="29"/>
      <c r="G161" s="29"/>
      <c r="H161" s="111"/>
      <c r="I161" s="171"/>
      <c r="J161" s="171"/>
      <c r="K161" s="171"/>
      <c r="L161" s="171"/>
      <c r="M161" s="100"/>
      <c r="N161" s="100"/>
      <c r="O161" s="100"/>
      <c r="P161" s="100"/>
    </row>
    <row r="162" spans="2:16" s="103" customFormat="1" ht="15.5" hidden="1" customHeight="1">
      <c r="B162" s="29"/>
      <c r="C162" s="29"/>
      <c r="D162" s="29"/>
      <c r="E162" s="29"/>
      <c r="F162" s="29"/>
      <c r="G162" s="29"/>
      <c r="H162" s="111"/>
      <c r="I162" s="171"/>
      <c r="J162" s="171"/>
      <c r="K162" s="171"/>
      <c r="L162" s="171"/>
      <c r="M162" s="100"/>
      <c r="N162" s="100"/>
      <c r="O162" s="100"/>
      <c r="P162" s="100"/>
    </row>
    <row r="163" spans="2:16" s="103" customFormat="1">
      <c r="B163" s="50" t="s">
        <v>147</v>
      </c>
      <c r="C163" s="51"/>
      <c r="D163" s="51"/>
      <c r="E163" s="51"/>
      <c r="F163" s="51"/>
      <c r="G163" s="164">
        <f>G24+G16+G10</f>
        <v>259460000</v>
      </c>
      <c r="H163" s="180"/>
      <c r="I163" s="179"/>
      <c r="J163" s="171"/>
      <c r="K163" s="184">
        <f>SUM(K8:K24)</f>
        <v>259458000</v>
      </c>
      <c r="L163" s="171"/>
      <c r="M163" s="100"/>
      <c r="N163" s="100"/>
      <c r="O163" s="100"/>
      <c r="P163" s="100"/>
    </row>
    <row r="164" spans="2:16" s="103" customFormat="1">
      <c r="B164"/>
      <c r="C164"/>
      <c r="D164"/>
      <c r="E164" s="71"/>
      <c r="F164"/>
      <c r="G164"/>
      <c r="H164" s="185" t="s">
        <v>165</v>
      </c>
      <c r="I164" s="186">
        <v>276958000</v>
      </c>
      <c r="J164" s="100"/>
      <c r="K164" s="100"/>
      <c r="L164" s="100"/>
      <c r="M164" s="100"/>
      <c r="N164" s="100"/>
      <c r="O164" s="100"/>
      <c r="P164" s="100"/>
    </row>
    <row r="165" spans="2:16">
      <c r="H165" s="133"/>
      <c r="I165" s="154"/>
      <c r="J165" s="187" t="s">
        <v>166</v>
      </c>
      <c r="K165" s="187">
        <f>I164-K163</f>
        <v>17500000</v>
      </c>
    </row>
    <row r="166" spans="2:16">
      <c r="H166" s="159"/>
      <c r="I166" s="154"/>
    </row>
    <row r="167" spans="2:16">
      <c r="H167" s="159"/>
      <c r="I167" s="154"/>
    </row>
  </sheetData>
  <mergeCells count="10">
    <mergeCell ref="B16:F16"/>
    <mergeCell ref="B18:G18"/>
    <mergeCell ref="K6:K7"/>
    <mergeCell ref="L6:L7"/>
    <mergeCell ref="B2:G2"/>
    <mergeCell ref="B3:G3"/>
    <mergeCell ref="B6:G6"/>
    <mergeCell ref="H6:J6"/>
    <mergeCell ref="B10:F10"/>
    <mergeCell ref="B11:G11"/>
  </mergeCells>
  <pageMargins left="0.31496062992125984" right="0.11811023622047245" top="0.55118110236220474" bottom="0.15748031496062992" header="0.31496062992125984" footer="0.31496062992125984"/>
  <pageSetup scale="70" orientation="landscape" horizontalDpi="360" verticalDpi="360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C2CF3-7671-4442-B367-EA0183F7039B}">
  <dimension ref="B2:T165"/>
  <sheetViews>
    <sheetView topLeftCell="C3" zoomScale="68" zoomScaleNormal="68" zoomScalePageLayoutView="85" workbookViewId="0">
      <selection activeCell="I18" sqref="I18"/>
    </sheetView>
  </sheetViews>
  <sheetFormatPr defaultColWidth="8.81640625" defaultRowHeight="14.5"/>
  <cols>
    <col min="1" max="1" width="3.08984375" customWidth="1"/>
    <col min="2" max="2" width="5" bestFit="1" customWidth="1"/>
    <col min="3" max="3" width="50.6328125" customWidth="1"/>
    <col min="4" max="4" width="8.6328125" customWidth="1"/>
    <col min="5" max="5" width="12.6328125" customWidth="1"/>
    <col min="6" max="6" width="28.26953125" customWidth="1"/>
    <col min="7" max="7" width="26" customWidth="1"/>
    <col min="8" max="8" width="14.6328125" style="103" bestFit="1" customWidth="1"/>
    <col min="9" max="9" width="8.81640625" style="103"/>
    <col min="10" max="10" width="8.90625" style="103" bestFit="1" customWidth="1"/>
    <col min="11" max="11" width="10.08984375" style="103" bestFit="1" customWidth="1"/>
    <col min="12" max="12" width="16.54296875" style="103" customWidth="1"/>
    <col min="13" max="14" width="8.81640625" style="103"/>
    <col min="15" max="15" width="15.7265625" style="103" customWidth="1"/>
    <col min="17" max="17" width="18" customWidth="1"/>
    <col min="19" max="19" width="16.1796875" customWidth="1"/>
    <col min="20" max="20" width="13.7265625" customWidth="1"/>
  </cols>
  <sheetData>
    <row r="2" spans="2:7" ht="15.5">
      <c r="B2" s="192" t="s">
        <v>0</v>
      </c>
      <c r="C2" s="192"/>
      <c r="D2" s="192"/>
      <c r="E2" s="192"/>
      <c r="F2" s="192"/>
      <c r="G2" s="192"/>
    </row>
    <row r="3" spans="2:7" ht="15.5">
      <c r="B3" s="192" t="s">
        <v>101</v>
      </c>
      <c r="C3" s="192"/>
      <c r="D3" s="192"/>
      <c r="E3" s="192"/>
      <c r="F3" s="192"/>
      <c r="G3" s="192"/>
    </row>
    <row r="4" spans="2:7" ht="15.5">
      <c r="B4" s="55"/>
      <c r="C4" s="55"/>
      <c r="D4" s="55"/>
      <c r="E4" s="55"/>
      <c r="F4" s="55"/>
      <c r="G4" s="55"/>
    </row>
    <row r="5" spans="2:7" ht="15.5">
      <c r="B5" s="3" t="s">
        <v>1</v>
      </c>
      <c r="C5" s="4" t="s">
        <v>146</v>
      </c>
      <c r="D5" s="5"/>
      <c r="E5" s="5"/>
      <c r="F5" s="5"/>
      <c r="G5" s="6" t="s">
        <v>78</v>
      </c>
    </row>
    <row r="6" spans="2:7" ht="15.5">
      <c r="B6" s="189" t="s">
        <v>109</v>
      </c>
      <c r="C6" s="190"/>
      <c r="D6" s="190"/>
      <c r="E6" s="190"/>
      <c r="F6" s="190"/>
      <c r="G6" s="191"/>
    </row>
    <row r="7" spans="2:7" ht="15.5">
      <c r="B7" s="7" t="s">
        <v>3</v>
      </c>
      <c r="C7" s="7" t="s">
        <v>4</v>
      </c>
      <c r="D7" s="8" t="s">
        <v>5</v>
      </c>
      <c r="E7" s="9" t="s">
        <v>6</v>
      </c>
      <c r="F7" s="7" t="s">
        <v>7</v>
      </c>
      <c r="G7" s="7" t="s">
        <v>8</v>
      </c>
    </row>
    <row r="8" spans="2:7" ht="15.5">
      <c r="B8" s="10">
        <v>1</v>
      </c>
      <c r="C8" s="11" t="s">
        <v>58</v>
      </c>
      <c r="D8" s="12" t="s">
        <v>9</v>
      </c>
      <c r="E8" s="13">
        <v>10000</v>
      </c>
      <c r="F8" s="64">
        <v>10000</v>
      </c>
      <c r="G8" s="14">
        <f>F8*E8</f>
        <v>100000000</v>
      </c>
    </row>
    <row r="9" spans="2:7" ht="15.5">
      <c r="B9" s="10">
        <v>2</v>
      </c>
      <c r="C9" s="11" t="s">
        <v>77</v>
      </c>
      <c r="D9" s="12" t="s">
        <v>9</v>
      </c>
      <c r="E9" s="13">
        <v>15000</v>
      </c>
      <c r="F9" s="64">
        <v>7000</v>
      </c>
      <c r="G9" s="14">
        <f>F9*E9</f>
        <v>105000000</v>
      </c>
    </row>
    <row r="10" spans="2:7" ht="15.5">
      <c r="B10" s="193" t="s">
        <v>10</v>
      </c>
      <c r="C10" s="194"/>
      <c r="D10" s="194"/>
      <c r="E10" s="194"/>
      <c r="F10" s="195"/>
      <c r="G10" s="15">
        <f>SUM(G8:G9)</f>
        <v>205000000</v>
      </c>
    </row>
    <row r="11" spans="2:7" ht="15.5">
      <c r="B11" s="189" t="s">
        <v>11</v>
      </c>
      <c r="C11" s="190"/>
      <c r="D11" s="190"/>
      <c r="E11" s="190"/>
      <c r="F11" s="190"/>
      <c r="G11" s="191"/>
    </row>
    <row r="12" spans="2:7" ht="15.5">
      <c r="B12" s="7" t="s">
        <v>3</v>
      </c>
      <c r="C12" s="7" t="s">
        <v>4</v>
      </c>
      <c r="D12" s="7" t="s">
        <v>5</v>
      </c>
      <c r="E12" s="9" t="s">
        <v>6</v>
      </c>
      <c r="F12" s="7" t="s">
        <v>7</v>
      </c>
      <c r="G12" s="7" t="s">
        <v>8</v>
      </c>
    </row>
    <row r="13" spans="2:7" ht="15.5">
      <c r="B13" s="16">
        <v>1</v>
      </c>
      <c r="C13" s="12" t="s">
        <v>33</v>
      </c>
      <c r="D13" s="17" t="s">
        <v>12</v>
      </c>
      <c r="E13" s="13">
        <v>25000</v>
      </c>
      <c r="F13" s="121">
        <v>700</v>
      </c>
      <c r="G13" s="14">
        <f>F13*E13</f>
        <v>17500000</v>
      </c>
    </row>
    <row r="14" spans="2:7" ht="15.5">
      <c r="B14" s="16">
        <v>2</v>
      </c>
      <c r="C14" s="18" t="s">
        <v>102</v>
      </c>
      <c r="D14" s="19" t="s">
        <v>14</v>
      </c>
      <c r="E14" s="20">
        <v>1</v>
      </c>
      <c r="F14" s="69">
        <v>2000000</v>
      </c>
      <c r="G14" s="14">
        <f>F14*E14</f>
        <v>2000000</v>
      </c>
    </row>
    <row r="15" spans="2:7" s="103" customFormat="1" ht="15.5">
      <c r="B15" s="16">
        <v>3</v>
      </c>
      <c r="C15" s="22" t="s">
        <v>79</v>
      </c>
      <c r="D15" s="19" t="s">
        <v>82</v>
      </c>
      <c r="E15" s="20">
        <v>32</v>
      </c>
      <c r="F15" s="21">
        <v>30000</v>
      </c>
      <c r="G15" s="14">
        <f>F15*E15</f>
        <v>960000</v>
      </c>
    </row>
    <row r="16" spans="2:7" s="103" customFormat="1" ht="15.5">
      <c r="B16" s="196" t="s">
        <v>10</v>
      </c>
      <c r="C16" s="197"/>
      <c r="D16" s="197"/>
      <c r="E16" s="197"/>
      <c r="F16" s="198"/>
      <c r="G16" s="23">
        <f>SUM(G13:G15)</f>
        <v>20460000</v>
      </c>
    </row>
    <row r="17" spans="2:20" s="103" customFormat="1" ht="15.5">
      <c r="B17" s="196" t="s">
        <v>54</v>
      </c>
      <c r="C17" s="197"/>
      <c r="D17" s="197"/>
      <c r="E17" s="197"/>
      <c r="F17" s="198"/>
      <c r="G17" s="127">
        <f>G16*11%</f>
        <v>2250600</v>
      </c>
    </row>
    <row r="18" spans="2:20" s="103" customFormat="1" ht="15.5">
      <c r="B18" s="196" t="s">
        <v>32</v>
      </c>
      <c r="C18" s="197"/>
      <c r="D18" s="197"/>
      <c r="E18" s="197"/>
      <c r="F18" s="198"/>
      <c r="G18" s="127">
        <f>G17+G16</f>
        <v>22710600</v>
      </c>
    </row>
    <row r="19" spans="2:20" s="103" customFormat="1" ht="15.5">
      <c r="B19" s="48"/>
      <c r="C19" s="49"/>
      <c r="D19" s="49"/>
      <c r="E19" s="49"/>
      <c r="F19" s="49"/>
      <c r="G19" s="66"/>
    </row>
    <row r="20" spans="2:20" s="103" customFormat="1" ht="15.5">
      <c r="B20" s="189" t="s">
        <v>110</v>
      </c>
      <c r="C20" s="190"/>
      <c r="D20" s="190"/>
      <c r="E20" s="190"/>
      <c r="F20" s="190"/>
      <c r="G20" s="191"/>
    </row>
    <row r="21" spans="2:20" s="103" customFormat="1" ht="15.5">
      <c r="B21" s="24" t="s">
        <v>3</v>
      </c>
      <c r="C21" s="24" t="s">
        <v>4</v>
      </c>
      <c r="D21" s="24" t="s">
        <v>59</v>
      </c>
      <c r="E21" s="24" t="s">
        <v>60</v>
      </c>
      <c r="F21" s="24" t="s">
        <v>16</v>
      </c>
      <c r="G21" s="7" t="s">
        <v>8</v>
      </c>
      <c r="L21" s="123" t="s">
        <v>154</v>
      </c>
      <c r="M21" s="123"/>
      <c r="N21" s="123"/>
      <c r="O21" s="123" t="s">
        <v>151</v>
      </c>
      <c r="P21" s="123"/>
      <c r="Q21" s="123" t="s">
        <v>152</v>
      </c>
      <c r="R21" s="123"/>
      <c r="S21" s="123" t="s">
        <v>153</v>
      </c>
      <c r="T21" s="103">
        <v>54000000</v>
      </c>
    </row>
    <row r="22" spans="2:20" s="103" customFormat="1" ht="15.5">
      <c r="B22" s="16">
        <v>1</v>
      </c>
      <c r="C22" s="12" t="s">
        <v>55</v>
      </c>
      <c r="D22" s="25">
        <v>40</v>
      </c>
      <c r="E22" s="28">
        <v>2</v>
      </c>
      <c r="F22" s="122">
        <v>100000</v>
      </c>
      <c r="G22" s="27">
        <f>F22*E22*D22</f>
        <v>8000000</v>
      </c>
      <c r="K22" s="103" t="s">
        <v>149</v>
      </c>
      <c r="L22" s="103" t="s">
        <v>150</v>
      </c>
      <c r="O22" s="103">
        <v>10000</v>
      </c>
    </row>
    <row r="23" spans="2:20" s="103" customFormat="1" ht="15.5">
      <c r="B23" s="16">
        <v>2</v>
      </c>
      <c r="C23" s="68" t="s">
        <v>61</v>
      </c>
      <c r="D23" s="25">
        <v>40</v>
      </c>
      <c r="E23" s="28">
        <v>5</v>
      </c>
      <c r="F23" s="122">
        <v>100000</v>
      </c>
      <c r="G23" s="27">
        <f>F23*E23*D23</f>
        <v>20000000</v>
      </c>
      <c r="K23" s="103">
        <v>6</v>
      </c>
      <c r="L23" s="103">
        <v>60</v>
      </c>
      <c r="M23" s="103">
        <v>125</v>
      </c>
    </row>
    <row r="24" spans="2:20" s="103" customFormat="1" ht="15.5">
      <c r="B24" s="16">
        <v>3</v>
      </c>
      <c r="C24" s="18" t="s">
        <v>62</v>
      </c>
      <c r="D24" s="25">
        <v>40</v>
      </c>
      <c r="E24" s="39">
        <v>1</v>
      </c>
      <c r="F24" s="122">
        <v>100000</v>
      </c>
      <c r="G24" s="27">
        <f>F24*E24*D24</f>
        <v>4000000</v>
      </c>
      <c r="M24" s="103">
        <f>L23*M23</f>
        <v>7500</v>
      </c>
    </row>
    <row r="25" spans="2:20" s="103" customFormat="1" ht="15.5">
      <c r="B25" s="50" t="s">
        <v>10</v>
      </c>
      <c r="C25" s="51"/>
      <c r="D25" s="51"/>
      <c r="E25" s="51"/>
      <c r="F25" s="51"/>
      <c r="G25" s="67">
        <f>SUM(G22:G24)</f>
        <v>32000000</v>
      </c>
    </row>
    <row r="26" spans="2:20" s="103" customFormat="1" ht="15.5" hidden="1" customHeight="1">
      <c r="B26" s="29"/>
      <c r="C26" s="29"/>
      <c r="D26" s="29"/>
      <c r="E26" s="29"/>
      <c r="F26" s="29"/>
      <c r="G26" s="29"/>
    </row>
    <row r="27" spans="2:20" s="103" customFormat="1" ht="15.5" hidden="1" customHeight="1">
      <c r="B27" s="29"/>
      <c r="C27" s="29"/>
      <c r="D27" s="29"/>
      <c r="E27" s="29"/>
      <c r="F27" s="29"/>
      <c r="G27" s="29"/>
    </row>
    <row r="28" spans="2:20" s="103" customFormat="1" ht="15.5" hidden="1" customHeight="1">
      <c r="B28" s="52" t="s">
        <v>23</v>
      </c>
      <c r="C28" s="52"/>
      <c r="D28" s="29"/>
      <c r="E28" s="29"/>
      <c r="F28" s="29"/>
      <c r="G28" s="29"/>
    </row>
    <row r="29" spans="2:20" s="103" customFormat="1" ht="31.25" hidden="1" customHeight="1">
      <c r="B29" s="30" t="s">
        <v>3</v>
      </c>
      <c r="C29" s="30" t="s">
        <v>4</v>
      </c>
      <c r="D29" s="31" t="s">
        <v>5</v>
      </c>
      <c r="E29" s="32" t="s">
        <v>24</v>
      </c>
      <c r="F29" s="54"/>
      <c r="G29" s="29"/>
    </row>
    <row r="30" spans="2:20" s="103" customFormat="1" ht="15.5" hidden="1" customHeight="1">
      <c r="B30" s="30" t="s">
        <v>17</v>
      </c>
      <c r="C30" s="33" t="s">
        <v>18</v>
      </c>
      <c r="D30" s="31"/>
      <c r="E30" s="24"/>
      <c r="F30" s="55"/>
      <c r="G30" s="29"/>
    </row>
    <row r="31" spans="2:20" s="103" customFormat="1" ht="15.5" hidden="1" customHeight="1">
      <c r="B31" s="34">
        <v>1</v>
      </c>
      <c r="C31" s="35" t="s">
        <v>25</v>
      </c>
      <c r="D31" s="36" t="s">
        <v>19</v>
      </c>
      <c r="E31" s="37">
        <v>2</v>
      </c>
      <c r="F31" s="56"/>
      <c r="G31" s="29"/>
    </row>
    <row r="32" spans="2:20" s="103" customFormat="1" ht="15.5" hidden="1" customHeight="1">
      <c r="B32" s="34">
        <v>2</v>
      </c>
      <c r="C32" s="38" t="s">
        <v>26</v>
      </c>
      <c r="D32" s="36" t="s">
        <v>19</v>
      </c>
      <c r="E32" s="39">
        <v>12</v>
      </c>
      <c r="F32" s="57"/>
      <c r="G32" s="29"/>
    </row>
    <row r="33" spans="2:7" s="103" customFormat="1" ht="15.5" hidden="1" customHeight="1">
      <c r="B33" s="34">
        <v>3</v>
      </c>
      <c r="C33" s="40" t="s">
        <v>27</v>
      </c>
      <c r="D33" s="36" t="s">
        <v>19</v>
      </c>
      <c r="E33" s="39">
        <v>14</v>
      </c>
      <c r="F33" s="57"/>
      <c r="G33" s="29"/>
    </row>
    <row r="34" spans="2:7" s="103" customFormat="1" ht="15.5" hidden="1" customHeight="1">
      <c r="B34" s="41" t="s">
        <v>20</v>
      </c>
      <c r="C34" s="42" t="s">
        <v>21</v>
      </c>
      <c r="D34" s="36"/>
      <c r="E34" s="25"/>
      <c r="F34" s="58"/>
      <c r="G34" s="29"/>
    </row>
    <row r="35" spans="2:7" s="103" customFormat="1" ht="15.5" hidden="1" customHeight="1">
      <c r="B35" s="34">
        <v>1</v>
      </c>
      <c r="C35" s="43" t="s">
        <v>31</v>
      </c>
      <c r="D35" s="36" t="s">
        <v>19</v>
      </c>
      <c r="E35" s="39">
        <v>30</v>
      </c>
      <c r="F35" s="57"/>
      <c r="G35" s="29"/>
    </row>
    <row r="36" spans="2:7" s="103" customFormat="1" ht="15.5" hidden="1" customHeight="1">
      <c r="B36" s="44" t="s">
        <v>22</v>
      </c>
      <c r="C36" s="45" t="s">
        <v>28</v>
      </c>
      <c r="D36" s="46" t="s">
        <v>19</v>
      </c>
      <c r="E36" s="47">
        <v>3</v>
      </c>
      <c r="F36" s="59"/>
      <c r="G36" s="29"/>
    </row>
    <row r="37" spans="2:7" s="103" customFormat="1" ht="15.5" hidden="1" customHeight="1">
      <c r="B37" s="53" t="s">
        <v>29</v>
      </c>
      <c r="C37" s="53"/>
      <c r="D37" s="53"/>
      <c r="E37" s="53"/>
      <c r="F37" s="60"/>
      <c r="G37" s="29"/>
    </row>
    <row r="38" spans="2:7" s="103" customFormat="1" ht="15.5" hidden="1" customHeight="1">
      <c r="B38" s="29"/>
      <c r="C38" s="29"/>
      <c r="D38" s="29"/>
      <c r="E38" s="29"/>
      <c r="F38" s="29"/>
      <c r="G38" s="29"/>
    </row>
    <row r="39" spans="2:7" s="103" customFormat="1" ht="15.5" hidden="1" customHeight="1">
      <c r="B39" s="29"/>
      <c r="C39" s="29"/>
      <c r="D39" s="29"/>
      <c r="E39" s="29"/>
      <c r="F39" s="29"/>
      <c r="G39" s="29"/>
    </row>
    <row r="40" spans="2:7" s="103" customFormat="1" ht="15.5" hidden="1" customHeight="1">
      <c r="B40" s="29"/>
      <c r="C40" s="29"/>
      <c r="D40" s="29"/>
      <c r="E40" s="29"/>
      <c r="F40" s="29"/>
      <c r="G40" s="29"/>
    </row>
    <row r="41" spans="2:7" s="103" customFormat="1" ht="15.5" hidden="1" customHeight="1">
      <c r="B41" s="29"/>
      <c r="C41" s="29"/>
      <c r="D41" s="29"/>
      <c r="E41" s="29"/>
      <c r="F41" s="29"/>
      <c r="G41" s="29"/>
    </row>
    <row r="42" spans="2:7" s="103" customFormat="1" ht="15.5" hidden="1" customHeight="1">
      <c r="B42" s="29"/>
      <c r="C42" s="29"/>
      <c r="D42" s="29"/>
      <c r="E42" s="29"/>
      <c r="F42" s="29"/>
      <c r="G42" s="29"/>
    </row>
    <row r="43" spans="2:7" s="103" customFormat="1" ht="15.5" hidden="1" customHeight="1">
      <c r="B43" s="29"/>
      <c r="C43" s="29"/>
      <c r="D43" s="29"/>
      <c r="E43" s="29"/>
      <c r="F43" s="29"/>
      <c r="G43" s="29"/>
    </row>
    <row r="44" spans="2:7" s="103" customFormat="1" ht="15.5" hidden="1" customHeight="1">
      <c r="B44" s="29"/>
      <c r="C44" s="29"/>
      <c r="D44" s="29"/>
      <c r="E44" s="29"/>
      <c r="F44" s="29"/>
      <c r="G44" s="29"/>
    </row>
    <row r="45" spans="2:7" s="103" customFormat="1" ht="15.5" hidden="1" customHeight="1">
      <c r="B45" s="29"/>
      <c r="C45" s="29"/>
      <c r="D45" s="29"/>
      <c r="E45" s="29"/>
      <c r="F45" s="29"/>
      <c r="G45" s="29"/>
    </row>
    <row r="46" spans="2:7" s="103" customFormat="1" ht="15.5" hidden="1" customHeight="1">
      <c r="B46" s="29"/>
      <c r="C46" s="29"/>
      <c r="D46" s="29"/>
      <c r="E46" s="29"/>
      <c r="F46" s="29"/>
      <c r="G46" s="29"/>
    </row>
    <row r="47" spans="2:7" s="103" customFormat="1" ht="15.5" hidden="1" customHeight="1">
      <c r="B47" s="29"/>
      <c r="C47" s="29"/>
      <c r="D47" s="29"/>
      <c r="E47" s="29"/>
      <c r="F47" s="29"/>
      <c r="G47" s="29"/>
    </row>
    <row r="48" spans="2:7" s="103" customFormat="1" ht="15.5" hidden="1" customHeight="1">
      <c r="B48" s="29"/>
      <c r="C48" s="29"/>
      <c r="D48" s="29"/>
      <c r="E48" s="29"/>
      <c r="F48" s="29"/>
      <c r="G48" s="29"/>
    </row>
    <row r="49" spans="2:7" s="103" customFormat="1" ht="15.5" hidden="1" customHeight="1">
      <c r="B49" s="29"/>
      <c r="C49" s="29"/>
      <c r="D49" s="29"/>
      <c r="E49" s="29"/>
      <c r="F49" s="29"/>
      <c r="G49" s="29"/>
    </row>
    <row r="50" spans="2:7" s="103" customFormat="1" ht="15.5" hidden="1" customHeight="1">
      <c r="B50" s="29"/>
      <c r="C50" s="29"/>
      <c r="D50" s="29"/>
      <c r="E50" s="29"/>
      <c r="F50" s="29"/>
      <c r="G50" s="29"/>
    </row>
    <row r="51" spans="2:7" s="103" customFormat="1" ht="15.5" hidden="1" customHeight="1">
      <c r="B51" s="29"/>
      <c r="C51" s="29"/>
      <c r="D51" s="29"/>
      <c r="E51" s="29"/>
      <c r="F51" s="29"/>
      <c r="G51" s="29"/>
    </row>
    <row r="52" spans="2:7" s="103" customFormat="1" ht="15.5" hidden="1" customHeight="1">
      <c r="B52" s="29"/>
      <c r="C52" s="29"/>
      <c r="D52" s="29"/>
      <c r="E52" s="29"/>
      <c r="F52" s="29"/>
      <c r="G52" s="29"/>
    </row>
    <row r="53" spans="2:7" s="103" customFormat="1" ht="15.5" hidden="1" customHeight="1">
      <c r="B53" s="29"/>
      <c r="C53" s="29"/>
      <c r="D53" s="29"/>
      <c r="E53" s="29"/>
      <c r="F53" s="29"/>
      <c r="G53" s="29"/>
    </row>
    <row r="54" spans="2:7" s="103" customFormat="1" ht="15.5" hidden="1" customHeight="1">
      <c r="B54" s="29"/>
      <c r="C54" s="29"/>
      <c r="D54" s="29"/>
      <c r="E54" s="29"/>
      <c r="F54" s="29"/>
      <c r="G54" s="29"/>
    </row>
    <row r="55" spans="2:7" s="103" customFormat="1" ht="15.5" hidden="1" customHeight="1">
      <c r="B55" s="29"/>
      <c r="C55" s="29"/>
      <c r="D55" s="29"/>
      <c r="E55" s="29"/>
      <c r="F55" s="29"/>
      <c r="G55" s="29"/>
    </row>
    <row r="56" spans="2:7" s="103" customFormat="1" ht="15.5" hidden="1" customHeight="1">
      <c r="B56" s="29"/>
      <c r="C56" s="29"/>
      <c r="D56" s="29"/>
      <c r="E56" s="29"/>
      <c r="F56" s="29"/>
      <c r="G56" s="29"/>
    </row>
    <row r="57" spans="2:7" s="103" customFormat="1" ht="15.5" hidden="1" customHeight="1">
      <c r="B57" s="29"/>
      <c r="C57" s="29"/>
      <c r="D57" s="29"/>
      <c r="E57" s="29"/>
      <c r="F57" s="29"/>
      <c r="G57" s="29"/>
    </row>
    <row r="58" spans="2:7" s="103" customFormat="1" ht="15.5" hidden="1" customHeight="1">
      <c r="B58" s="29"/>
      <c r="C58" s="29"/>
      <c r="D58" s="29"/>
      <c r="E58" s="29"/>
      <c r="F58" s="29"/>
      <c r="G58" s="29"/>
    </row>
    <row r="59" spans="2:7" s="103" customFormat="1" ht="15.5" hidden="1" customHeight="1">
      <c r="B59" s="29"/>
      <c r="C59" s="29"/>
      <c r="D59" s="29"/>
      <c r="E59" s="29"/>
      <c r="F59" s="29"/>
      <c r="G59" s="29"/>
    </row>
    <row r="60" spans="2:7" s="103" customFormat="1" ht="15.5" hidden="1" customHeight="1">
      <c r="B60" s="29"/>
      <c r="C60" s="29"/>
      <c r="D60" s="29"/>
      <c r="E60" s="29"/>
      <c r="F60" s="29"/>
      <c r="G60" s="29"/>
    </row>
    <row r="61" spans="2:7" s="103" customFormat="1" ht="15.5" hidden="1" customHeight="1">
      <c r="B61" s="29"/>
      <c r="C61" s="29"/>
      <c r="D61" s="29"/>
      <c r="E61" s="29"/>
      <c r="F61" s="29"/>
      <c r="G61" s="29"/>
    </row>
    <row r="62" spans="2:7" s="103" customFormat="1" ht="15.5" hidden="1" customHeight="1">
      <c r="B62" s="29"/>
      <c r="C62" s="29"/>
      <c r="D62" s="29"/>
      <c r="E62" s="29"/>
      <c r="F62" s="29"/>
      <c r="G62" s="29"/>
    </row>
    <row r="63" spans="2:7" s="103" customFormat="1" ht="15.5" hidden="1" customHeight="1">
      <c r="B63" s="29"/>
      <c r="C63" s="29"/>
      <c r="D63" s="29"/>
      <c r="E63" s="29"/>
      <c r="F63" s="29"/>
      <c r="G63" s="29"/>
    </row>
    <row r="64" spans="2:7" s="103" customFormat="1" ht="15.5" hidden="1" customHeight="1">
      <c r="B64" s="29"/>
      <c r="C64" s="29"/>
      <c r="D64" s="29"/>
      <c r="E64" s="29"/>
      <c r="F64" s="29"/>
      <c r="G64" s="29"/>
    </row>
    <row r="65" spans="2:7" s="103" customFormat="1" ht="15.5" hidden="1" customHeight="1">
      <c r="B65" s="29"/>
      <c r="C65" s="29"/>
      <c r="D65" s="29"/>
      <c r="E65" s="29"/>
      <c r="F65" s="29"/>
      <c r="G65" s="29"/>
    </row>
    <row r="66" spans="2:7" s="103" customFormat="1" ht="15.5" hidden="1" customHeight="1">
      <c r="B66" s="29"/>
      <c r="C66" s="29"/>
      <c r="D66" s="29"/>
      <c r="E66" s="29"/>
      <c r="F66" s="29"/>
      <c r="G66" s="29"/>
    </row>
    <row r="67" spans="2:7" s="103" customFormat="1" ht="15.5" hidden="1" customHeight="1">
      <c r="B67" s="29"/>
      <c r="C67" s="29"/>
      <c r="D67" s="29"/>
      <c r="E67" s="29"/>
      <c r="F67" s="29"/>
      <c r="G67" s="29"/>
    </row>
    <row r="68" spans="2:7" s="103" customFormat="1" ht="15.5" hidden="1" customHeight="1">
      <c r="B68" s="29"/>
      <c r="C68" s="29"/>
      <c r="D68" s="29"/>
      <c r="E68" s="29"/>
      <c r="F68" s="29"/>
      <c r="G68" s="29"/>
    </row>
    <row r="69" spans="2:7" s="103" customFormat="1" ht="15.5" hidden="1" customHeight="1">
      <c r="B69" s="29"/>
      <c r="C69" s="29"/>
      <c r="D69" s="29"/>
      <c r="E69" s="29"/>
      <c r="F69" s="29"/>
      <c r="G69" s="29"/>
    </row>
    <row r="70" spans="2:7" s="103" customFormat="1" ht="15.5" hidden="1" customHeight="1">
      <c r="B70" s="29"/>
      <c r="C70" s="29"/>
      <c r="D70" s="29"/>
      <c r="E70" s="29"/>
      <c r="F70" s="29"/>
      <c r="G70" s="29"/>
    </row>
    <row r="71" spans="2:7" s="103" customFormat="1" ht="15.5" hidden="1" customHeight="1">
      <c r="B71" s="29"/>
      <c r="C71" s="29"/>
      <c r="D71" s="29"/>
      <c r="E71" s="29"/>
      <c r="F71" s="29"/>
      <c r="G71" s="29"/>
    </row>
    <row r="72" spans="2:7" s="103" customFormat="1" ht="15.5" hidden="1" customHeight="1">
      <c r="B72" s="29"/>
      <c r="C72" s="29"/>
      <c r="D72" s="29"/>
      <c r="E72" s="29"/>
      <c r="F72" s="29"/>
      <c r="G72" s="29"/>
    </row>
    <row r="73" spans="2:7" s="103" customFormat="1" ht="15.5" hidden="1" customHeight="1">
      <c r="B73" s="29"/>
      <c r="C73" s="29"/>
      <c r="D73" s="29"/>
      <c r="E73" s="29"/>
      <c r="F73" s="29"/>
      <c r="G73" s="29"/>
    </row>
    <row r="74" spans="2:7" s="103" customFormat="1" ht="15.5" hidden="1" customHeight="1">
      <c r="B74" s="29"/>
      <c r="C74" s="29"/>
      <c r="D74" s="29"/>
      <c r="E74" s="29"/>
      <c r="F74" s="29"/>
      <c r="G74" s="29"/>
    </row>
    <row r="75" spans="2:7" s="103" customFormat="1" ht="15.5" hidden="1" customHeight="1">
      <c r="B75" s="29"/>
      <c r="C75" s="29"/>
      <c r="D75" s="29"/>
      <c r="E75" s="29"/>
      <c r="F75" s="29"/>
      <c r="G75" s="29"/>
    </row>
    <row r="76" spans="2:7" s="103" customFormat="1" ht="15.5" hidden="1" customHeight="1">
      <c r="B76" s="29"/>
      <c r="C76" s="29"/>
      <c r="D76" s="29"/>
      <c r="E76" s="29"/>
      <c r="F76" s="29"/>
      <c r="G76" s="29"/>
    </row>
    <row r="77" spans="2:7" s="103" customFormat="1" ht="15.5" hidden="1" customHeight="1">
      <c r="B77" s="29"/>
      <c r="C77" s="29"/>
      <c r="D77" s="29"/>
      <c r="E77" s="29"/>
      <c r="F77" s="29"/>
      <c r="G77" s="29"/>
    </row>
    <row r="78" spans="2:7" s="103" customFormat="1" ht="15.5" hidden="1" customHeight="1">
      <c r="B78" s="29"/>
      <c r="C78" s="29"/>
      <c r="D78" s="29"/>
      <c r="E78" s="29"/>
      <c r="F78" s="29"/>
      <c r="G78" s="29"/>
    </row>
    <row r="79" spans="2:7" s="103" customFormat="1" ht="15.5" hidden="1" customHeight="1">
      <c r="B79" s="29"/>
      <c r="C79" s="29"/>
      <c r="D79" s="29"/>
      <c r="E79" s="29"/>
      <c r="F79" s="29"/>
      <c r="G79" s="29"/>
    </row>
    <row r="80" spans="2:7" s="103" customFormat="1" ht="15.5" hidden="1" customHeight="1">
      <c r="B80" s="29"/>
      <c r="C80" s="29"/>
      <c r="D80" s="29"/>
      <c r="E80" s="29"/>
      <c r="F80" s="29"/>
      <c r="G80" s="29"/>
    </row>
    <row r="81" spans="2:7" s="103" customFormat="1" ht="15.5" hidden="1" customHeight="1">
      <c r="B81" s="29"/>
      <c r="C81" s="29"/>
      <c r="D81" s="29"/>
      <c r="E81" s="29"/>
      <c r="F81" s="29"/>
      <c r="G81" s="29"/>
    </row>
    <row r="82" spans="2:7" s="103" customFormat="1" ht="15.5" hidden="1" customHeight="1">
      <c r="B82" s="29"/>
      <c r="C82" s="29"/>
      <c r="D82" s="29"/>
      <c r="E82" s="29"/>
      <c r="F82" s="29"/>
      <c r="G82" s="29"/>
    </row>
    <row r="83" spans="2:7" s="103" customFormat="1" ht="15.5" hidden="1" customHeight="1">
      <c r="B83" s="29"/>
      <c r="C83" s="29"/>
      <c r="D83" s="29"/>
      <c r="E83" s="29"/>
      <c r="F83" s="29"/>
      <c r="G83" s="29"/>
    </row>
    <row r="84" spans="2:7" s="103" customFormat="1" ht="15.5" hidden="1" customHeight="1">
      <c r="B84" s="29"/>
      <c r="C84" s="29"/>
      <c r="D84" s="29"/>
      <c r="E84" s="29"/>
      <c r="F84" s="29"/>
      <c r="G84" s="29"/>
    </row>
    <row r="85" spans="2:7" s="103" customFormat="1" ht="15.5" hidden="1" customHeight="1">
      <c r="B85" s="29"/>
      <c r="C85" s="29"/>
      <c r="D85" s="29"/>
      <c r="E85" s="29"/>
      <c r="F85" s="29"/>
      <c r="G85" s="29"/>
    </row>
    <row r="86" spans="2:7" s="103" customFormat="1" ht="15.5" hidden="1" customHeight="1">
      <c r="B86" s="29"/>
      <c r="C86" s="29"/>
      <c r="D86" s="29"/>
      <c r="E86" s="29"/>
      <c r="F86" s="29"/>
      <c r="G86" s="29"/>
    </row>
    <row r="87" spans="2:7" s="103" customFormat="1" ht="15.5" hidden="1" customHeight="1">
      <c r="B87" s="29"/>
      <c r="C87" s="29"/>
      <c r="D87" s="29"/>
      <c r="E87" s="29"/>
      <c r="F87" s="29"/>
      <c r="G87" s="29"/>
    </row>
    <row r="88" spans="2:7" s="103" customFormat="1" ht="15.5" hidden="1" customHeight="1">
      <c r="B88" s="29"/>
      <c r="C88" s="29"/>
      <c r="D88" s="29"/>
      <c r="E88" s="29"/>
      <c r="F88" s="29"/>
      <c r="G88" s="29"/>
    </row>
    <row r="89" spans="2:7" s="103" customFormat="1" ht="15.5" hidden="1" customHeight="1">
      <c r="B89" s="29"/>
      <c r="C89" s="29"/>
      <c r="D89" s="29"/>
      <c r="E89" s="29"/>
      <c r="F89" s="29"/>
      <c r="G89" s="29"/>
    </row>
    <row r="90" spans="2:7" s="103" customFormat="1" ht="15.5" hidden="1" customHeight="1">
      <c r="B90" s="29"/>
      <c r="C90" s="29"/>
      <c r="D90" s="29"/>
      <c r="E90" s="29"/>
      <c r="F90" s="29"/>
      <c r="G90" s="29"/>
    </row>
    <row r="91" spans="2:7" s="103" customFormat="1" ht="15.5" hidden="1" customHeight="1">
      <c r="B91" s="29"/>
      <c r="C91" s="29"/>
      <c r="D91" s="29"/>
      <c r="E91" s="29"/>
      <c r="F91" s="29"/>
      <c r="G91" s="29"/>
    </row>
    <row r="92" spans="2:7" s="103" customFormat="1" ht="15.5" hidden="1" customHeight="1">
      <c r="B92" s="29"/>
      <c r="C92" s="29"/>
      <c r="D92" s="29"/>
      <c r="E92" s="29"/>
      <c r="F92" s="29"/>
      <c r="G92" s="29"/>
    </row>
    <row r="93" spans="2:7" s="103" customFormat="1" ht="15.5" hidden="1" customHeight="1">
      <c r="B93" s="29"/>
      <c r="C93" s="29"/>
      <c r="D93" s="29"/>
      <c r="E93" s="29"/>
      <c r="F93" s="29"/>
      <c r="G93" s="29"/>
    </row>
    <row r="94" spans="2:7" s="103" customFormat="1" ht="15.5" hidden="1" customHeight="1">
      <c r="B94" s="29"/>
      <c r="C94" s="29"/>
      <c r="D94" s="29"/>
      <c r="E94" s="29"/>
      <c r="F94" s="29"/>
      <c r="G94" s="29"/>
    </row>
    <row r="95" spans="2:7" s="103" customFormat="1" ht="15.5" hidden="1" customHeight="1">
      <c r="B95" s="29"/>
      <c r="C95" s="29"/>
      <c r="D95" s="29"/>
      <c r="E95" s="29"/>
      <c r="F95" s="29"/>
      <c r="G95" s="29"/>
    </row>
    <row r="96" spans="2:7" s="103" customFormat="1" ht="15.5" hidden="1" customHeight="1">
      <c r="B96" s="29"/>
      <c r="C96" s="29"/>
      <c r="D96" s="29"/>
      <c r="E96" s="29"/>
      <c r="F96" s="29"/>
      <c r="G96" s="29"/>
    </row>
    <row r="97" spans="2:7" s="103" customFormat="1" ht="15.5" hidden="1" customHeight="1">
      <c r="B97" s="29"/>
      <c r="C97" s="29"/>
      <c r="D97" s="29"/>
      <c r="E97" s="29"/>
      <c r="F97" s="29"/>
      <c r="G97" s="29"/>
    </row>
    <row r="98" spans="2:7" s="103" customFormat="1" ht="15.5" hidden="1" customHeight="1">
      <c r="B98" s="29"/>
      <c r="C98" s="29"/>
      <c r="D98" s="29"/>
      <c r="E98" s="29"/>
      <c r="F98" s="29"/>
      <c r="G98" s="29"/>
    </row>
    <row r="99" spans="2:7" s="103" customFormat="1" ht="15.5" hidden="1" customHeight="1">
      <c r="B99" s="29"/>
      <c r="C99" s="29"/>
      <c r="D99" s="29"/>
      <c r="E99" s="29"/>
      <c r="F99" s="29"/>
      <c r="G99" s="29"/>
    </row>
    <row r="100" spans="2:7" s="103" customFormat="1" ht="15.5" hidden="1" customHeight="1">
      <c r="B100" s="29"/>
      <c r="C100" s="29"/>
      <c r="D100" s="29"/>
      <c r="E100" s="29"/>
      <c r="F100" s="29"/>
      <c r="G100" s="29"/>
    </row>
    <row r="101" spans="2:7" s="103" customFormat="1" ht="15.5" hidden="1" customHeight="1">
      <c r="B101" s="29"/>
      <c r="C101" s="29"/>
      <c r="D101" s="29"/>
      <c r="E101" s="29"/>
      <c r="F101" s="29"/>
      <c r="G101" s="29"/>
    </row>
    <row r="102" spans="2:7" s="103" customFormat="1" ht="15.5" hidden="1" customHeight="1">
      <c r="B102" s="29"/>
      <c r="C102" s="29"/>
      <c r="D102" s="29"/>
      <c r="E102" s="29"/>
      <c r="F102" s="29"/>
      <c r="G102" s="29"/>
    </row>
    <row r="103" spans="2:7" s="103" customFormat="1" ht="15.5" hidden="1" customHeight="1">
      <c r="B103" s="29"/>
      <c r="C103" s="29"/>
      <c r="D103" s="29"/>
      <c r="E103" s="29"/>
      <c r="F103" s="29"/>
      <c r="G103" s="29"/>
    </row>
    <row r="104" spans="2:7" s="103" customFormat="1" ht="15.5" hidden="1" customHeight="1">
      <c r="B104" s="29"/>
      <c r="C104" s="29"/>
      <c r="D104" s="29"/>
      <c r="E104" s="29"/>
      <c r="F104" s="29"/>
      <c r="G104" s="29"/>
    </row>
    <row r="105" spans="2:7" s="103" customFormat="1" ht="15.5" hidden="1" customHeight="1">
      <c r="B105" s="29"/>
      <c r="C105" s="29"/>
      <c r="D105" s="29"/>
      <c r="E105" s="29"/>
      <c r="F105" s="29"/>
      <c r="G105" s="29"/>
    </row>
    <row r="106" spans="2:7" s="103" customFormat="1" ht="15.5" hidden="1" customHeight="1">
      <c r="B106" s="29"/>
      <c r="C106" s="29"/>
      <c r="D106" s="29"/>
      <c r="E106" s="29"/>
      <c r="F106" s="29"/>
      <c r="G106" s="29"/>
    </row>
    <row r="107" spans="2:7" s="103" customFormat="1" ht="15.5" hidden="1" customHeight="1">
      <c r="B107" s="29"/>
      <c r="C107" s="29"/>
      <c r="D107" s="29"/>
      <c r="E107" s="29"/>
      <c r="F107" s="29"/>
      <c r="G107" s="29"/>
    </row>
    <row r="108" spans="2:7" s="103" customFormat="1" ht="15.5" hidden="1" customHeight="1">
      <c r="B108" s="29"/>
      <c r="C108" s="29"/>
      <c r="D108" s="29"/>
      <c r="E108" s="29"/>
      <c r="F108" s="29"/>
      <c r="G108" s="29"/>
    </row>
    <row r="109" spans="2:7" s="103" customFormat="1" ht="15.5" hidden="1" customHeight="1">
      <c r="B109" s="29"/>
      <c r="C109" s="29"/>
      <c r="D109" s="29"/>
      <c r="E109" s="29"/>
      <c r="F109" s="29"/>
      <c r="G109" s="29"/>
    </row>
    <row r="110" spans="2:7" s="103" customFormat="1" ht="15.5" hidden="1" customHeight="1">
      <c r="B110" s="29"/>
      <c r="C110" s="29"/>
      <c r="D110" s="29"/>
      <c r="E110" s="29"/>
      <c r="F110" s="29"/>
      <c r="G110" s="29"/>
    </row>
    <row r="111" spans="2:7" s="103" customFormat="1" ht="15.5" hidden="1" customHeight="1">
      <c r="B111" s="29"/>
      <c r="C111" s="29"/>
      <c r="D111" s="29"/>
      <c r="E111" s="29"/>
      <c r="F111" s="29"/>
      <c r="G111" s="29"/>
    </row>
    <row r="112" spans="2:7" s="103" customFormat="1" ht="15.5" hidden="1" customHeight="1">
      <c r="B112" s="29"/>
      <c r="C112" s="29"/>
      <c r="D112" s="29"/>
      <c r="E112" s="29"/>
      <c r="F112" s="29"/>
      <c r="G112" s="29"/>
    </row>
    <row r="113" spans="2:7" s="103" customFormat="1" ht="15.5" hidden="1" customHeight="1">
      <c r="B113" s="29"/>
      <c r="C113" s="29"/>
      <c r="D113" s="29"/>
      <c r="E113" s="29"/>
      <c r="F113" s="29"/>
      <c r="G113" s="29"/>
    </row>
    <row r="114" spans="2:7" s="103" customFormat="1" ht="15.5" hidden="1" customHeight="1">
      <c r="B114" s="29"/>
      <c r="C114" s="29"/>
      <c r="D114" s="29"/>
      <c r="E114" s="29"/>
      <c r="F114" s="29"/>
      <c r="G114" s="29"/>
    </row>
    <row r="115" spans="2:7" s="103" customFormat="1" ht="15.5" hidden="1" customHeight="1">
      <c r="B115" s="29"/>
      <c r="C115" s="29"/>
      <c r="D115" s="29"/>
      <c r="E115" s="29"/>
      <c r="F115" s="29"/>
      <c r="G115" s="29"/>
    </row>
    <row r="116" spans="2:7" s="103" customFormat="1" ht="15.5" hidden="1" customHeight="1">
      <c r="B116" s="29"/>
      <c r="C116" s="29"/>
      <c r="D116" s="29"/>
      <c r="E116" s="29"/>
      <c r="F116" s="29"/>
      <c r="G116" s="29"/>
    </row>
    <row r="117" spans="2:7" s="103" customFormat="1" ht="15.5" hidden="1" customHeight="1">
      <c r="B117" s="29"/>
      <c r="C117" s="29"/>
      <c r="D117" s="29"/>
      <c r="E117" s="29"/>
      <c r="F117" s="29"/>
      <c r="G117" s="29"/>
    </row>
    <row r="118" spans="2:7" s="103" customFormat="1" ht="15.5" hidden="1" customHeight="1">
      <c r="B118" s="29"/>
      <c r="C118" s="29"/>
      <c r="D118" s="29"/>
      <c r="E118" s="29"/>
      <c r="F118" s="29"/>
      <c r="G118" s="29"/>
    </row>
    <row r="119" spans="2:7" s="103" customFormat="1" ht="15.5" hidden="1" customHeight="1">
      <c r="B119" s="29"/>
      <c r="C119" s="29"/>
      <c r="D119" s="29"/>
      <c r="E119" s="29"/>
      <c r="F119" s="29"/>
      <c r="G119" s="29"/>
    </row>
    <row r="120" spans="2:7" s="103" customFormat="1" ht="15.5" hidden="1" customHeight="1">
      <c r="B120" s="29"/>
      <c r="C120" s="29"/>
      <c r="D120" s="29"/>
      <c r="E120" s="29"/>
      <c r="F120" s="29"/>
      <c r="G120" s="29"/>
    </row>
    <row r="121" spans="2:7" s="103" customFormat="1" ht="15.5" hidden="1" customHeight="1">
      <c r="B121" s="29"/>
      <c r="C121" s="29"/>
      <c r="D121" s="29"/>
      <c r="E121" s="29"/>
      <c r="F121" s="29"/>
      <c r="G121" s="29"/>
    </row>
    <row r="122" spans="2:7" s="103" customFormat="1" ht="15.5" hidden="1" customHeight="1">
      <c r="B122" s="29"/>
      <c r="C122" s="29"/>
      <c r="D122" s="29"/>
      <c r="E122" s="29"/>
      <c r="F122" s="29"/>
      <c r="G122" s="29"/>
    </row>
    <row r="123" spans="2:7" s="103" customFormat="1" ht="15.5" hidden="1" customHeight="1">
      <c r="B123" s="29"/>
      <c r="C123" s="29"/>
      <c r="D123" s="29"/>
      <c r="E123" s="29"/>
      <c r="F123" s="29"/>
      <c r="G123" s="29"/>
    </row>
    <row r="124" spans="2:7" s="103" customFormat="1" ht="15.5" hidden="1" customHeight="1">
      <c r="B124" s="29"/>
      <c r="C124" s="29"/>
      <c r="D124" s="29"/>
      <c r="E124" s="29"/>
      <c r="F124" s="29"/>
      <c r="G124" s="29"/>
    </row>
    <row r="125" spans="2:7" s="103" customFormat="1" ht="15.5" hidden="1" customHeight="1">
      <c r="B125" s="29"/>
      <c r="C125" s="29"/>
      <c r="D125" s="29"/>
      <c r="E125" s="29"/>
      <c r="F125" s="29"/>
      <c r="G125" s="29"/>
    </row>
    <row r="126" spans="2:7" s="103" customFormat="1" ht="15.5" hidden="1" customHeight="1">
      <c r="B126" s="29"/>
      <c r="C126" s="29"/>
      <c r="D126" s="29"/>
      <c r="E126" s="29"/>
      <c r="F126" s="29"/>
      <c r="G126" s="29"/>
    </row>
    <row r="127" spans="2:7" s="103" customFormat="1" ht="15.5" hidden="1" customHeight="1">
      <c r="B127" s="29"/>
      <c r="C127" s="29"/>
      <c r="D127" s="29"/>
      <c r="E127" s="29"/>
      <c r="F127" s="29"/>
      <c r="G127" s="29"/>
    </row>
    <row r="128" spans="2:7" s="103" customFormat="1" ht="15.5" hidden="1" customHeight="1">
      <c r="B128" s="29"/>
      <c r="C128" s="29"/>
      <c r="D128" s="29"/>
      <c r="E128" s="29"/>
      <c r="F128" s="29"/>
      <c r="G128" s="29"/>
    </row>
    <row r="129" spans="2:7" s="103" customFormat="1" ht="15.5" hidden="1" customHeight="1">
      <c r="B129" s="29"/>
      <c r="C129" s="29"/>
      <c r="D129" s="29"/>
      <c r="E129" s="29"/>
      <c r="F129" s="29"/>
      <c r="G129" s="29"/>
    </row>
    <row r="130" spans="2:7" s="103" customFormat="1" ht="15.5" hidden="1" customHeight="1">
      <c r="B130" s="29"/>
      <c r="C130" s="29"/>
      <c r="D130" s="29"/>
      <c r="E130" s="29"/>
      <c r="F130" s="29"/>
      <c r="G130" s="29"/>
    </row>
    <row r="131" spans="2:7" s="103" customFormat="1" ht="15.5" hidden="1" customHeight="1">
      <c r="B131" s="29"/>
      <c r="C131" s="29"/>
      <c r="D131" s="29"/>
      <c r="E131" s="29"/>
      <c r="F131" s="29"/>
      <c r="G131" s="29"/>
    </row>
    <row r="132" spans="2:7" s="103" customFormat="1" ht="15.5" hidden="1" customHeight="1">
      <c r="B132" s="29"/>
      <c r="C132" s="29"/>
      <c r="D132" s="29"/>
      <c r="E132" s="29"/>
      <c r="F132" s="29"/>
      <c r="G132" s="29"/>
    </row>
    <row r="133" spans="2:7" s="103" customFormat="1" ht="15.5" hidden="1" customHeight="1">
      <c r="B133" s="29"/>
      <c r="C133" s="29"/>
      <c r="D133" s="29"/>
      <c r="E133" s="29"/>
      <c r="F133" s="29"/>
      <c r="G133" s="29"/>
    </row>
    <row r="134" spans="2:7" s="103" customFormat="1" ht="15.5" hidden="1" customHeight="1">
      <c r="B134" s="29"/>
      <c r="C134" s="29"/>
      <c r="D134" s="29"/>
      <c r="E134" s="29"/>
      <c r="F134" s="29"/>
      <c r="G134" s="29"/>
    </row>
    <row r="135" spans="2:7" s="103" customFormat="1" ht="15.5" hidden="1" customHeight="1">
      <c r="B135" s="29"/>
      <c r="C135" s="29"/>
      <c r="D135" s="29"/>
      <c r="E135" s="29"/>
      <c r="F135" s="29"/>
      <c r="G135" s="29"/>
    </row>
    <row r="136" spans="2:7" s="103" customFormat="1" ht="15.5" hidden="1" customHeight="1">
      <c r="B136" s="29"/>
      <c r="C136" s="29"/>
      <c r="D136" s="29"/>
      <c r="E136" s="29"/>
      <c r="F136" s="29"/>
      <c r="G136" s="29"/>
    </row>
    <row r="137" spans="2:7" s="103" customFormat="1" ht="15.5" hidden="1" customHeight="1">
      <c r="B137" s="29"/>
      <c r="C137" s="29"/>
      <c r="D137" s="29"/>
      <c r="E137" s="29"/>
      <c r="F137" s="29"/>
      <c r="G137" s="29"/>
    </row>
    <row r="138" spans="2:7" s="103" customFormat="1" ht="15.5" hidden="1" customHeight="1">
      <c r="B138" s="29"/>
      <c r="C138" s="29"/>
      <c r="D138" s="29"/>
      <c r="E138" s="29"/>
      <c r="F138" s="29"/>
      <c r="G138" s="29"/>
    </row>
    <row r="139" spans="2:7" s="103" customFormat="1" ht="15.5" hidden="1" customHeight="1">
      <c r="B139" s="29"/>
      <c r="C139" s="29"/>
      <c r="D139" s="29"/>
      <c r="E139" s="29"/>
      <c r="F139" s="29"/>
      <c r="G139" s="29"/>
    </row>
    <row r="140" spans="2:7" s="103" customFormat="1" ht="15.5" hidden="1" customHeight="1">
      <c r="B140" s="29"/>
      <c r="C140" s="29"/>
      <c r="D140" s="29"/>
      <c r="E140" s="29"/>
      <c r="F140" s="29"/>
      <c r="G140" s="29"/>
    </row>
    <row r="141" spans="2:7" s="103" customFormat="1" ht="15.5" hidden="1" customHeight="1">
      <c r="B141" s="29"/>
      <c r="C141" s="29"/>
      <c r="D141" s="29"/>
      <c r="E141" s="29"/>
      <c r="F141" s="29"/>
      <c r="G141" s="29"/>
    </row>
    <row r="142" spans="2:7" s="103" customFormat="1" ht="15.5" hidden="1" customHeight="1">
      <c r="B142" s="29"/>
      <c r="C142" s="29"/>
      <c r="D142" s="29"/>
      <c r="E142" s="29"/>
      <c r="F142" s="29"/>
      <c r="G142" s="29"/>
    </row>
    <row r="143" spans="2:7" s="103" customFormat="1" ht="15.5" hidden="1" customHeight="1">
      <c r="B143" s="29"/>
      <c r="C143" s="29"/>
      <c r="D143" s="29"/>
      <c r="E143" s="29"/>
      <c r="F143" s="29"/>
      <c r="G143" s="29"/>
    </row>
    <row r="144" spans="2:7" s="103" customFormat="1" ht="15.5" hidden="1" customHeight="1">
      <c r="B144" s="29"/>
      <c r="C144" s="29"/>
      <c r="D144" s="29"/>
      <c r="E144" s="29"/>
      <c r="F144" s="29"/>
      <c r="G144" s="29"/>
    </row>
    <row r="145" spans="2:7" s="103" customFormat="1" ht="15.5" hidden="1" customHeight="1">
      <c r="B145" s="29"/>
      <c r="C145" s="29"/>
      <c r="D145" s="29"/>
      <c r="E145" s="29"/>
      <c r="F145" s="29"/>
      <c r="G145" s="29"/>
    </row>
    <row r="146" spans="2:7" s="103" customFormat="1" ht="15.5" hidden="1" customHeight="1">
      <c r="B146" s="29"/>
      <c r="C146" s="29"/>
      <c r="D146" s="29"/>
      <c r="E146" s="29"/>
      <c r="F146" s="29"/>
      <c r="G146" s="29"/>
    </row>
    <row r="147" spans="2:7" s="103" customFormat="1" ht="15.5" hidden="1" customHeight="1">
      <c r="B147" s="29"/>
      <c r="C147" s="29"/>
      <c r="D147" s="29"/>
      <c r="E147" s="29"/>
      <c r="F147" s="29"/>
      <c r="G147" s="29"/>
    </row>
    <row r="148" spans="2:7" s="103" customFormat="1" ht="15.5" hidden="1" customHeight="1">
      <c r="B148" s="29"/>
      <c r="C148" s="29"/>
      <c r="D148" s="29"/>
      <c r="E148" s="29"/>
      <c r="F148" s="29"/>
      <c r="G148" s="29"/>
    </row>
    <row r="149" spans="2:7" s="103" customFormat="1" ht="15.5" hidden="1" customHeight="1">
      <c r="B149" s="29"/>
      <c r="C149" s="29"/>
      <c r="D149" s="29"/>
      <c r="E149" s="29"/>
      <c r="F149" s="29"/>
      <c r="G149" s="29"/>
    </row>
    <row r="150" spans="2:7" s="103" customFormat="1" ht="15.5" hidden="1" customHeight="1">
      <c r="B150" s="29"/>
      <c r="C150" s="29"/>
      <c r="D150" s="29"/>
      <c r="E150" s="29"/>
      <c r="F150" s="29"/>
      <c r="G150" s="29"/>
    </row>
    <row r="151" spans="2:7" s="103" customFormat="1" ht="15.5" hidden="1" customHeight="1">
      <c r="B151" s="29"/>
      <c r="C151" s="29"/>
      <c r="D151" s="29"/>
      <c r="E151" s="29"/>
      <c r="F151" s="29"/>
      <c r="G151" s="29"/>
    </row>
    <row r="152" spans="2:7" s="103" customFormat="1" ht="15.5" hidden="1" customHeight="1">
      <c r="B152" s="29"/>
      <c r="C152" s="29"/>
      <c r="D152" s="29"/>
      <c r="E152" s="29"/>
      <c r="F152" s="29"/>
      <c r="G152" s="29"/>
    </row>
    <row r="153" spans="2:7" s="103" customFormat="1" ht="15.5" hidden="1" customHeight="1">
      <c r="B153" s="29"/>
      <c r="C153" s="29"/>
      <c r="D153" s="29"/>
      <c r="E153" s="29"/>
      <c r="F153" s="29"/>
      <c r="G153" s="29"/>
    </row>
    <row r="154" spans="2:7" s="103" customFormat="1" ht="15.5" hidden="1" customHeight="1">
      <c r="B154" s="29"/>
      <c r="C154" s="29"/>
      <c r="D154" s="29"/>
      <c r="E154" s="29"/>
      <c r="F154" s="29"/>
      <c r="G154" s="29"/>
    </row>
    <row r="155" spans="2:7" s="103" customFormat="1" ht="15.5" hidden="1" customHeight="1">
      <c r="B155" s="29"/>
      <c r="C155" s="29"/>
      <c r="D155" s="29"/>
      <c r="E155" s="29"/>
      <c r="F155" s="29"/>
      <c r="G155" s="29"/>
    </row>
    <row r="156" spans="2:7" s="103" customFormat="1" ht="15.5" hidden="1" customHeight="1">
      <c r="B156" s="29"/>
      <c r="C156" s="29"/>
      <c r="D156" s="29"/>
      <c r="E156" s="29"/>
      <c r="F156" s="29"/>
      <c r="G156" s="29"/>
    </row>
    <row r="157" spans="2:7" s="103" customFormat="1" ht="15.5" hidden="1" customHeight="1">
      <c r="B157" s="29"/>
      <c r="C157" s="29"/>
      <c r="D157" s="29"/>
      <c r="E157" s="29"/>
      <c r="F157" s="29"/>
      <c r="G157" s="29"/>
    </row>
    <row r="158" spans="2:7" s="103" customFormat="1" ht="15.5" hidden="1" customHeight="1">
      <c r="B158" s="29"/>
      <c r="C158" s="29"/>
      <c r="D158" s="29"/>
      <c r="E158" s="29"/>
      <c r="F158" s="29"/>
      <c r="G158" s="29"/>
    </row>
    <row r="159" spans="2:7" s="103" customFormat="1" ht="15.5" hidden="1" customHeight="1">
      <c r="B159" s="29"/>
      <c r="C159" s="29"/>
      <c r="D159" s="29"/>
      <c r="E159" s="29"/>
      <c r="F159" s="29"/>
      <c r="G159" s="29"/>
    </row>
    <row r="160" spans="2:7" s="103" customFormat="1" ht="15.5" hidden="1" customHeight="1">
      <c r="B160" s="29"/>
      <c r="C160" s="29"/>
      <c r="D160" s="29"/>
      <c r="E160" s="29"/>
      <c r="F160" s="29"/>
      <c r="G160" s="29"/>
    </row>
    <row r="161" spans="2:7" s="103" customFormat="1" ht="15.5" hidden="1" customHeight="1">
      <c r="B161" s="29"/>
      <c r="C161" s="29"/>
      <c r="D161" s="29"/>
      <c r="E161" s="29"/>
      <c r="F161" s="29"/>
      <c r="G161" s="29"/>
    </row>
    <row r="162" spans="2:7" s="103" customFormat="1" ht="15.5" hidden="1" customHeight="1">
      <c r="B162" s="29"/>
      <c r="C162" s="29"/>
      <c r="D162" s="29"/>
      <c r="E162" s="29"/>
      <c r="F162" s="29"/>
      <c r="G162" s="29"/>
    </row>
    <row r="163" spans="2:7" s="103" customFormat="1" ht="15.5" hidden="1" customHeight="1">
      <c r="B163" s="29"/>
      <c r="C163" s="29"/>
      <c r="D163" s="29"/>
      <c r="E163" s="29"/>
      <c r="F163" s="29"/>
      <c r="G163" s="29"/>
    </row>
    <row r="164" spans="2:7" s="103" customFormat="1" ht="15.5">
      <c r="B164" s="50" t="s">
        <v>147</v>
      </c>
      <c r="C164" s="51"/>
      <c r="D164" s="51"/>
      <c r="E164" s="51"/>
      <c r="F164" s="51"/>
      <c r="G164" s="23">
        <f>G25+G18+G10</f>
        <v>259710600</v>
      </c>
    </row>
    <row r="165" spans="2:7" s="103" customFormat="1">
      <c r="B165"/>
      <c r="C165"/>
      <c r="D165"/>
      <c r="E165" s="71"/>
      <c r="F165"/>
      <c r="G165"/>
    </row>
  </sheetData>
  <mergeCells count="9">
    <mergeCell ref="B17:F17"/>
    <mergeCell ref="B18:F18"/>
    <mergeCell ref="B20:G20"/>
    <mergeCell ref="B2:G2"/>
    <mergeCell ref="B3:G3"/>
    <mergeCell ref="B6:G6"/>
    <mergeCell ref="B10:F10"/>
    <mergeCell ref="B11:G11"/>
    <mergeCell ref="B16:F16"/>
  </mergeCells>
  <pageMargins left="0.51181102362204722" right="0.31496062992125984" top="0.74803149606299213" bottom="0.35433070866141736" header="0.31496062992125984" footer="0.31496062992125984"/>
  <pageSetup scale="75" orientation="portrait" horizontalDpi="360" verticalDpi="360" r:id="rId1"/>
  <colBreaks count="1" manualBreakCount="1">
    <brk id="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opLeftCell="A5" zoomScale="68" zoomScaleNormal="68" zoomScalePageLayoutView="85" workbookViewId="0">
      <selection activeCell="J28" sqref="J28"/>
    </sheetView>
  </sheetViews>
  <sheetFormatPr defaultColWidth="8.81640625" defaultRowHeight="14.5"/>
  <cols>
    <col min="1" max="1" width="5" bestFit="1" customWidth="1"/>
    <col min="2" max="2" width="50.6328125" customWidth="1"/>
    <col min="3" max="3" width="8.6328125" customWidth="1"/>
    <col min="4" max="4" width="12.6328125" customWidth="1"/>
    <col min="5" max="5" width="28.26953125" customWidth="1"/>
    <col min="6" max="6" width="26" customWidth="1"/>
    <col min="7" max="7" width="14.6328125" style="103" bestFit="1" customWidth="1"/>
    <col min="8" max="8" width="8.81640625" style="103"/>
    <col min="9" max="9" width="8.90625" style="103" bestFit="1" customWidth="1"/>
    <col min="10" max="10" width="10.08984375" style="103" bestFit="1" customWidth="1"/>
    <col min="11" max="11" width="11.08984375" style="103" bestFit="1" customWidth="1"/>
    <col min="12" max="14" width="8.81640625" style="103"/>
  </cols>
  <sheetData>
    <row r="1" spans="1:14" ht="15.5">
      <c r="A1" s="192" t="s">
        <v>0</v>
      </c>
      <c r="B1" s="192"/>
      <c r="C1" s="192"/>
      <c r="D1" s="192"/>
      <c r="E1" s="192"/>
      <c r="F1" s="192"/>
    </row>
    <row r="2" spans="1:14" ht="15.5">
      <c r="A2" s="192" t="s">
        <v>101</v>
      </c>
      <c r="B2" s="192"/>
      <c r="C2" s="192"/>
      <c r="D2" s="192"/>
      <c r="E2" s="192"/>
      <c r="F2" s="192"/>
    </row>
    <row r="3" spans="1:14" ht="15.5">
      <c r="A3" s="55"/>
      <c r="B3" s="55"/>
      <c r="C3" s="55"/>
      <c r="D3" s="55"/>
      <c r="E3" s="55"/>
      <c r="F3" s="55"/>
    </row>
    <row r="4" spans="1:14" ht="15.5">
      <c r="A4" s="3" t="s">
        <v>1</v>
      </c>
      <c r="B4" s="4" t="s">
        <v>76</v>
      </c>
      <c r="C4" s="5"/>
      <c r="D4" s="5"/>
      <c r="E4" s="5"/>
      <c r="F4" s="6" t="s">
        <v>78</v>
      </c>
    </row>
    <row r="5" spans="1:14" ht="15.5">
      <c r="A5" s="189" t="s">
        <v>109</v>
      </c>
      <c r="B5" s="190"/>
      <c r="C5" s="190"/>
      <c r="D5" s="190"/>
      <c r="E5" s="190"/>
      <c r="F5" s="191"/>
    </row>
    <row r="6" spans="1:14" ht="15.5">
      <c r="A6" s="7" t="s">
        <v>3</v>
      </c>
      <c r="B6" s="7" t="s">
        <v>4</v>
      </c>
      <c r="C6" s="8" t="s">
        <v>5</v>
      </c>
      <c r="D6" s="9" t="s">
        <v>6</v>
      </c>
      <c r="E6" s="7" t="s">
        <v>7</v>
      </c>
      <c r="F6" s="7" t="s">
        <v>8</v>
      </c>
    </row>
    <row r="7" spans="1:14" ht="15.5">
      <c r="A7" s="10">
        <v>1</v>
      </c>
      <c r="B7" s="11" t="s">
        <v>58</v>
      </c>
      <c r="C7" s="12" t="s">
        <v>9</v>
      </c>
      <c r="D7" s="13">
        <v>10000</v>
      </c>
      <c r="E7" s="64">
        <v>10000</v>
      </c>
      <c r="F7" s="14">
        <f>E7*D7</f>
        <v>100000000</v>
      </c>
    </row>
    <row r="8" spans="1:14" ht="15.5">
      <c r="A8" s="10">
        <v>2</v>
      </c>
      <c r="B8" s="11" t="s">
        <v>77</v>
      </c>
      <c r="C8" s="12" t="s">
        <v>9</v>
      </c>
      <c r="D8" s="13">
        <v>20000</v>
      </c>
      <c r="E8" s="64">
        <v>7000</v>
      </c>
      <c r="F8" s="14">
        <f>E8*D8</f>
        <v>140000000</v>
      </c>
      <c r="G8" s="103">
        <f>15000*E8</f>
        <v>105000000</v>
      </c>
    </row>
    <row r="9" spans="1:14" ht="15.5">
      <c r="A9" s="193" t="s">
        <v>10</v>
      </c>
      <c r="B9" s="194"/>
      <c r="C9" s="194"/>
      <c r="D9" s="194"/>
      <c r="E9" s="195"/>
      <c r="F9" s="15">
        <f>SUM(F7:F8)</f>
        <v>240000000</v>
      </c>
      <c r="G9" s="103">
        <f>F7+G8</f>
        <v>205000000</v>
      </c>
    </row>
    <row r="10" spans="1:14" ht="15.5">
      <c r="A10" s="189" t="s">
        <v>11</v>
      </c>
      <c r="B10" s="190"/>
      <c r="C10" s="190"/>
      <c r="D10" s="190"/>
      <c r="E10" s="190"/>
      <c r="F10" s="191"/>
    </row>
    <row r="11" spans="1:14" ht="15.5">
      <c r="A11" s="7" t="s">
        <v>3</v>
      </c>
      <c r="B11" s="7" t="s">
        <v>4</v>
      </c>
      <c r="C11" s="7" t="s">
        <v>5</v>
      </c>
      <c r="D11" s="9" t="s">
        <v>6</v>
      </c>
      <c r="E11" s="7" t="s">
        <v>7</v>
      </c>
      <c r="F11" s="7" t="s">
        <v>8</v>
      </c>
    </row>
    <row r="12" spans="1:14" ht="15.5">
      <c r="A12" s="16">
        <v>1</v>
      </c>
      <c r="B12" s="12" t="s">
        <v>33</v>
      </c>
      <c r="C12" s="17" t="s">
        <v>12</v>
      </c>
      <c r="D12" s="13">
        <v>30000</v>
      </c>
      <c r="E12" s="93">
        <v>700</v>
      </c>
      <c r="F12" s="14">
        <f>E12*D12</f>
        <v>21000000</v>
      </c>
    </row>
    <row r="13" spans="1:14" ht="15.5">
      <c r="A13" s="16">
        <v>2</v>
      </c>
      <c r="B13" s="18" t="s">
        <v>102</v>
      </c>
      <c r="C13" s="19" t="s">
        <v>14</v>
      </c>
      <c r="D13" s="20">
        <v>1</v>
      </c>
      <c r="E13" s="69">
        <v>2000000</v>
      </c>
      <c r="F13" s="14">
        <f>E13*D13</f>
        <v>2000000</v>
      </c>
    </row>
    <row r="14" spans="1:14" ht="16.5" customHeight="1">
      <c r="A14" s="16">
        <v>3</v>
      </c>
      <c r="B14" s="18" t="s">
        <v>123</v>
      </c>
      <c r="C14" s="19" t="s">
        <v>9</v>
      </c>
      <c r="D14" s="20">
        <v>130</v>
      </c>
      <c r="E14" s="64">
        <v>7000</v>
      </c>
      <c r="F14" s="14">
        <f>D14*E14</f>
        <v>910000</v>
      </c>
      <c r="H14" s="103" t="s">
        <v>103</v>
      </c>
      <c r="N14" s="103" t="s">
        <v>124</v>
      </c>
    </row>
    <row r="15" spans="1:14" ht="15.5">
      <c r="A15" s="95">
        <v>4</v>
      </c>
      <c r="B15" s="96" t="s">
        <v>80</v>
      </c>
      <c r="C15" s="97" t="s">
        <v>82</v>
      </c>
      <c r="D15" s="94">
        <v>8</v>
      </c>
      <c r="E15" s="93">
        <v>910000</v>
      </c>
      <c r="F15" s="98">
        <f>D15*E15</f>
        <v>7280000</v>
      </c>
      <c r="H15" s="103" t="s">
        <v>104</v>
      </c>
    </row>
    <row r="16" spans="1:14" ht="15.5">
      <c r="A16" s="95">
        <v>5</v>
      </c>
      <c r="B16" s="96" t="s">
        <v>81</v>
      </c>
      <c r="C16" s="97" t="s">
        <v>30</v>
      </c>
      <c r="D16" s="94">
        <v>10</v>
      </c>
      <c r="E16" s="93">
        <v>98000</v>
      </c>
      <c r="F16" s="98">
        <f t="shared" ref="F16:F17" si="0">D16*E16</f>
        <v>980000</v>
      </c>
    </row>
    <row r="17" spans="1:12" ht="15.5">
      <c r="A17" s="95">
        <v>6</v>
      </c>
      <c r="B17" s="96" t="s">
        <v>105</v>
      </c>
      <c r="C17" s="97" t="s">
        <v>30</v>
      </c>
      <c r="D17" s="94">
        <v>5</v>
      </c>
      <c r="E17" s="93">
        <v>40000</v>
      </c>
      <c r="F17" s="98">
        <f t="shared" si="0"/>
        <v>200000</v>
      </c>
    </row>
    <row r="18" spans="1:12" ht="15.5">
      <c r="A18" s="16">
        <v>7</v>
      </c>
      <c r="B18" s="22" t="s">
        <v>79</v>
      </c>
      <c r="C18" s="19" t="s">
        <v>82</v>
      </c>
      <c r="D18" s="20">
        <v>32</v>
      </c>
      <c r="E18" s="21">
        <v>30000</v>
      </c>
      <c r="F18" s="14">
        <f>E18*D18</f>
        <v>960000</v>
      </c>
      <c r="G18" s="103" t="s">
        <v>78</v>
      </c>
    </row>
    <row r="19" spans="1:12" ht="15.5">
      <c r="A19" s="196" t="s">
        <v>10</v>
      </c>
      <c r="B19" s="197"/>
      <c r="C19" s="197"/>
      <c r="D19" s="197"/>
      <c r="E19" s="198"/>
      <c r="F19" s="23">
        <f>SUM(F12:F18)</f>
        <v>33330000</v>
      </c>
      <c r="G19" s="103">
        <f>F19-(F15+F16+F17+F14)</f>
        <v>23960000</v>
      </c>
    </row>
    <row r="20" spans="1:12" ht="15.5">
      <c r="A20" s="196" t="s">
        <v>54</v>
      </c>
      <c r="B20" s="197"/>
      <c r="C20" s="197"/>
      <c r="D20" s="197"/>
      <c r="E20" s="198"/>
      <c r="F20" s="23">
        <f>F19*11%</f>
        <v>3666300</v>
      </c>
      <c r="I20" s="103">
        <v>10</v>
      </c>
      <c r="J20" s="103">
        <v>30000</v>
      </c>
      <c r="K20" s="103">
        <f>I20*J20</f>
        <v>300000</v>
      </c>
      <c r="L20" s="103">
        <f>K20/100</f>
        <v>3000</v>
      </c>
    </row>
    <row r="21" spans="1:12" ht="15.5">
      <c r="A21" s="196" t="s">
        <v>32</v>
      </c>
      <c r="B21" s="197"/>
      <c r="C21" s="197"/>
      <c r="D21" s="197"/>
      <c r="E21" s="198"/>
      <c r="F21" s="23">
        <f>F20+F19</f>
        <v>36996300</v>
      </c>
      <c r="L21" s="103">
        <f>L20/100</f>
        <v>30</v>
      </c>
    </row>
    <row r="22" spans="1:12" ht="15.5">
      <c r="A22" s="48"/>
      <c r="B22" s="49"/>
      <c r="C22" s="49"/>
      <c r="D22" s="49"/>
      <c r="E22" s="49"/>
      <c r="F22" s="66"/>
    </row>
    <row r="23" spans="1:12" ht="15.5">
      <c r="A23" s="189" t="s">
        <v>110</v>
      </c>
      <c r="B23" s="190"/>
      <c r="C23" s="190"/>
      <c r="D23" s="190"/>
      <c r="E23" s="190"/>
      <c r="F23" s="191"/>
    </row>
    <row r="24" spans="1:12" ht="15.5">
      <c r="A24" s="24" t="s">
        <v>3</v>
      </c>
      <c r="B24" s="24" t="s">
        <v>4</v>
      </c>
      <c r="C24" s="24" t="s">
        <v>59</v>
      </c>
      <c r="D24" s="24" t="s">
        <v>60</v>
      </c>
      <c r="E24" s="24" t="s">
        <v>16</v>
      </c>
      <c r="F24" s="7" t="s">
        <v>8</v>
      </c>
    </row>
    <row r="25" spans="1:12" ht="15.5">
      <c r="A25" s="16">
        <v>1</v>
      </c>
      <c r="B25" s="12" t="s">
        <v>64</v>
      </c>
      <c r="C25" s="25">
        <v>10</v>
      </c>
      <c r="D25" s="28">
        <v>1</v>
      </c>
      <c r="E25" s="92">
        <v>100000</v>
      </c>
      <c r="F25" s="27">
        <f>E25*D25*C25</f>
        <v>1000000</v>
      </c>
    </row>
    <row r="26" spans="1:12" ht="15.5">
      <c r="A26" s="16">
        <v>2</v>
      </c>
      <c r="B26" s="12" t="s">
        <v>55</v>
      </c>
      <c r="C26" s="25">
        <v>40</v>
      </c>
      <c r="D26" s="28">
        <v>2</v>
      </c>
      <c r="E26" s="92">
        <v>100000</v>
      </c>
      <c r="F26" s="27">
        <f>E26*D26*C26</f>
        <v>8000000</v>
      </c>
    </row>
    <row r="27" spans="1:12" ht="15.5">
      <c r="A27" s="16">
        <v>3</v>
      </c>
      <c r="B27" s="68" t="s">
        <v>61</v>
      </c>
      <c r="C27" s="25">
        <v>40</v>
      </c>
      <c r="D27" s="28">
        <v>5</v>
      </c>
      <c r="E27" s="92">
        <v>100000</v>
      </c>
      <c r="F27" s="27">
        <f>E27*D27*C27</f>
        <v>20000000</v>
      </c>
    </row>
    <row r="28" spans="1:12" ht="15.5">
      <c r="A28" s="16">
        <v>4</v>
      </c>
      <c r="B28" s="18" t="s">
        <v>62</v>
      </c>
      <c r="C28" s="25">
        <v>10</v>
      </c>
      <c r="D28" s="39">
        <v>1</v>
      </c>
      <c r="E28" s="92">
        <v>100000</v>
      </c>
      <c r="F28" s="27">
        <f>E28*D28*C28</f>
        <v>1000000</v>
      </c>
    </row>
    <row r="29" spans="1:12" ht="15.5">
      <c r="A29" s="50" t="s">
        <v>10</v>
      </c>
      <c r="B29" s="51"/>
      <c r="C29" s="51"/>
      <c r="D29" s="51"/>
      <c r="E29" s="51"/>
      <c r="F29" s="67">
        <f>SUM(F25:F28)</f>
        <v>30000000</v>
      </c>
    </row>
    <row r="30" spans="1:12" ht="15.5" hidden="1" customHeight="1">
      <c r="A30" s="29"/>
      <c r="B30" s="29"/>
      <c r="C30" s="29"/>
      <c r="D30" s="29"/>
      <c r="E30" s="29"/>
      <c r="F30" s="29"/>
    </row>
    <row r="31" spans="1:12" ht="15.5" hidden="1" customHeight="1">
      <c r="A31" s="29"/>
      <c r="B31" s="29"/>
      <c r="C31" s="29"/>
      <c r="D31" s="29"/>
      <c r="E31" s="29"/>
      <c r="F31" s="29"/>
    </row>
    <row r="32" spans="1:12" ht="15.5" hidden="1" customHeight="1">
      <c r="A32" s="52" t="s">
        <v>23</v>
      </c>
      <c r="B32" s="52"/>
      <c r="C32" s="29"/>
      <c r="D32" s="29"/>
      <c r="E32" s="29"/>
      <c r="F32" s="29"/>
    </row>
    <row r="33" spans="1:6" ht="31.25" hidden="1" customHeight="1">
      <c r="A33" s="30" t="s">
        <v>3</v>
      </c>
      <c r="B33" s="30" t="s">
        <v>4</v>
      </c>
      <c r="C33" s="31" t="s">
        <v>5</v>
      </c>
      <c r="D33" s="32" t="s">
        <v>24</v>
      </c>
      <c r="E33" s="54"/>
      <c r="F33" s="29"/>
    </row>
    <row r="34" spans="1:6" ht="15.5" hidden="1" customHeight="1">
      <c r="A34" s="30" t="s">
        <v>17</v>
      </c>
      <c r="B34" s="33" t="s">
        <v>18</v>
      </c>
      <c r="C34" s="31"/>
      <c r="D34" s="24"/>
      <c r="E34" s="55"/>
      <c r="F34" s="29"/>
    </row>
    <row r="35" spans="1:6" ht="15.5" hidden="1" customHeight="1">
      <c r="A35" s="34">
        <v>1</v>
      </c>
      <c r="B35" s="35" t="s">
        <v>25</v>
      </c>
      <c r="C35" s="36" t="s">
        <v>19</v>
      </c>
      <c r="D35" s="37">
        <v>2</v>
      </c>
      <c r="E35" s="56"/>
      <c r="F35" s="29"/>
    </row>
    <row r="36" spans="1:6" ht="15.5" hidden="1" customHeight="1">
      <c r="A36" s="34">
        <v>2</v>
      </c>
      <c r="B36" s="38" t="s">
        <v>26</v>
      </c>
      <c r="C36" s="36" t="s">
        <v>19</v>
      </c>
      <c r="D36" s="39">
        <v>12</v>
      </c>
      <c r="E36" s="57"/>
      <c r="F36" s="29"/>
    </row>
    <row r="37" spans="1:6" ht="15.5" hidden="1" customHeight="1">
      <c r="A37" s="34">
        <v>3</v>
      </c>
      <c r="B37" s="40" t="s">
        <v>27</v>
      </c>
      <c r="C37" s="36" t="s">
        <v>19</v>
      </c>
      <c r="D37" s="39">
        <v>14</v>
      </c>
      <c r="E37" s="57"/>
      <c r="F37" s="29"/>
    </row>
    <row r="38" spans="1:6" ht="15.5" hidden="1" customHeight="1">
      <c r="A38" s="41" t="s">
        <v>20</v>
      </c>
      <c r="B38" s="42" t="s">
        <v>21</v>
      </c>
      <c r="C38" s="36"/>
      <c r="D38" s="25"/>
      <c r="E38" s="58"/>
      <c r="F38" s="29"/>
    </row>
    <row r="39" spans="1:6" ht="15.5" hidden="1" customHeight="1">
      <c r="A39" s="34">
        <v>1</v>
      </c>
      <c r="B39" s="43" t="s">
        <v>31</v>
      </c>
      <c r="C39" s="36" t="s">
        <v>19</v>
      </c>
      <c r="D39" s="39">
        <v>30</v>
      </c>
      <c r="E39" s="57"/>
      <c r="F39" s="29"/>
    </row>
    <row r="40" spans="1:6" ht="15.5" hidden="1" customHeight="1">
      <c r="A40" s="44" t="s">
        <v>22</v>
      </c>
      <c r="B40" s="45" t="s">
        <v>28</v>
      </c>
      <c r="C40" s="46" t="s">
        <v>19</v>
      </c>
      <c r="D40" s="47">
        <v>3</v>
      </c>
      <c r="E40" s="59"/>
      <c r="F40" s="29"/>
    </row>
    <row r="41" spans="1:6" ht="15.5" hidden="1" customHeight="1">
      <c r="A41" s="53" t="s">
        <v>29</v>
      </c>
      <c r="B41" s="53"/>
      <c r="C41" s="53"/>
      <c r="D41" s="53"/>
      <c r="E41" s="60"/>
      <c r="F41" s="29"/>
    </row>
    <row r="42" spans="1:6" ht="15.5" hidden="1" customHeight="1">
      <c r="A42" s="29"/>
      <c r="B42" s="29"/>
      <c r="C42" s="29"/>
      <c r="D42" s="29"/>
      <c r="E42" s="29"/>
      <c r="F42" s="29"/>
    </row>
    <row r="43" spans="1:6" ht="15.5" hidden="1" customHeight="1">
      <c r="A43" s="29"/>
      <c r="B43" s="29"/>
      <c r="C43" s="29"/>
      <c r="D43" s="29"/>
      <c r="E43" s="29"/>
      <c r="F43" s="29"/>
    </row>
    <row r="44" spans="1:6" ht="15.5" hidden="1" customHeight="1">
      <c r="A44" s="29"/>
      <c r="B44" s="29"/>
      <c r="C44" s="29"/>
      <c r="D44" s="29"/>
      <c r="E44" s="29"/>
      <c r="F44" s="29"/>
    </row>
    <row r="45" spans="1:6" ht="15.5" hidden="1" customHeight="1">
      <c r="A45" s="29"/>
      <c r="B45" s="29"/>
      <c r="C45" s="29"/>
      <c r="D45" s="29"/>
      <c r="E45" s="29"/>
      <c r="F45" s="29"/>
    </row>
    <row r="46" spans="1:6" ht="15.5" hidden="1" customHeight="1">
      <c r="A46" s="29"/>
      <c r="B46" s="29"/>
      <c r="C46" s="29"/>
      <c r="D46" s="29"/>
      <c r="E46" s="29"/>
      <c r="F46" s="29"/>
    </row>
    <row r="47" spans="1:6" ht="15.5" hidden="1" customHeight="1">
      <c r="A47" s="29"/>
      <c r="B47" s="29"/>
      <c r="C47" s="29"/>
      <c r="D47" s="29"/>
      <c r="E47" s="29"/>
      <c r="F47" s="29"/>
    </row>
    <row r="48" spans="1:6" ht="15.5" hidden="1" customHeight="1">
      <c r="A48" s="29"/>
      <c r="B48" s="29"/>
      <c r="C48" s="29"/>
      <c r="D48" s="29"/>
      <c r="E48" s="29"/>
      <c r="F48" s="29"/>
    </row>
    <row r="49" spans="1:6" ht="15.5" hidden="1" customHeight="1">
      <c r="A49" s="29"/>
      <c r="B49" s="29"/>
      <c r="C49" s="29"/>
      <c r="D49" s="29"/>
      <c r="E49" s="29"/>
      <c r="F49" s="29"/>
    </row>
    <row r="50" spans="1:6" ht="15.5" hidden="1" customHeight="1">
      <c r="A50" s="29"/>
      <c r="B50" s="29"/>
      <c r="C50" s="29"/>
      <c r="D50" s="29"/>
      <c r="E50" s="29"/>
      <c r="F50" s="29"/>
    </row>
    <row r="51" spans="1:6" ht="15.5" hidden="1" customHeight="1">
      <c r="A51" s="29"/>
      <c r="B51" s="29"/>
      <c r="C51" s="29"/>
      <c r="D51" s="29"/>
      <c r="E51" s="29"/>
      <c r="F51" s="29"/>
    </row>
    <row r="52" spans="1:6" ht="15.5" hidden="1" customHeight="1">
      <c r="A52" s="29"/>
      <c r="B52" s="29"/>
      <c r="C52" s="29"/>
      <c r="D52" s="29"/>
      <c r="E52" s="29"/>
      <c r="F52" s="29"/>
    </row>
    <row r="53" spans="1:6" ht="15.5" hidden="1" customHeight="1">
      <c r="A53" s="29"/>
      <c r="B53" s="29"/>
      <c r="C53" s="29"/>
      <c r="D53" s="29"/>
      <c r="E53" s="29"/>
      <c r="F53" s="29"/>
    </row>
    <row r="54" spans="1:6" ht="15.5" hidden="1" customHeight="1">
      <c r="A54" s="29"/>
      <c r="B54" s="29"/>
      <c r="C54" s="29"/>
      <c r="D54" s="29"/>
      <c r="E54" s="29"/>
      <c r="F54" s="29"/>
    </row>
    <row r="55" spans="1:6" ht="15.5" hidden="1" customHeight="1">
      <c r="A55" s="29"/>
      <c r="B55" s="29"/>
      <c r="C55" s="29"/>
      <c r="D55" s="29"/>
      <c r="E55" s="29"/>
      <c r="F55" s="29"/>
    </row>
    <row r="56" spans="1:6" ht="15.5" hidden="1" customHeight="1">
      <c r="A56" s="29"/>
      <c r="B56" s="29"/>
      <c r="C56" s="29"/>
      <c r="D56" s="29"/>
      <c r="E56" s="29"/>
      <c r="F56" s="29"/>
    </row>
    <row r="57" spans="1:6" ht="15.5" hidden="1" customHeight="1">
      <c r="A57" s="29"/>
      <c r="B57" s="29"/>
      <c r="C57" s="29"/>
      <c r="D57" s="29"/>
      <c r="E57" s="29"/>
      <c r="F57" s="29"/>
    </row>
    <row r="58" spans="1:6" ht="15.5" hidden="1" customHeight="1">
      <c r="A58" s="29"/>
      <c r="B58" s="29"/>
      <c r="C58" s="29"/>
      <c r="D58" s="29"/>
      <c r="E58" s="29"/>
      <c r="F58" s="29"/>
    </row>
    <row r="59" spans="1:6" ht="15.5" hidden="1" customHeight="1">
      <c r="A59" s="29"/>
      <c r="B59" s="29"/>
      <c r="C59" s="29"/>
      <c r="D59" s="29"/>
      <c r="E59" s="29"/>
      <c r="F59" s="29"/>
    </row>
    <row r="60" spans="1:6" ht="15.5" hidden="1" customHeight="1">
      <c r="A60" s="29"/>
      <c r="B60" s="29"/>
      <c r="C60" s="29"/>
      <c r="D60" s="29"/>
      <c r="E60" s="29"/>
      <c r="F60" s="29"/>
    </row>
    <row r="61" spans="1:6" ht="15.5" hidden="1" customHeight="1">
      <c r="A61" s="29"/>
      <c r="B61" s="29"/>
      <c r="C61" s="29"/>
      <c r="D61" s="29"/>
      <c r="E61" s="29"/>
      <c r="F61" s="29"/>
    </row>
    <row r="62" spans="1:6" ht="15.5" hidden="1" customHeight="1">
      <c r="A62" s="29"/>
      <c r="B62" s="29"/>
      <c r="C62" s="29"/>
      <c r="D62" s="29"/>
      <c r="E62" s="29"/>
      <c r="F62" s="29"/>
    </row>
    <row r="63" spans="1:6" ht="15.5" hidden="1" customHeight="1">
      <c r="A63" s="29"/>
      <c r="B63" s="29"/>
      <c r="C63" s="29"/>
      <c r="D63" s="29"/>
      <c r="E63" s="29"/>
      <c r="F63" s="29"/>
    </row>
    <row r="64" spans="1:6" ht="15.5" hidden="1" customHeight="1">
      <c r="A64" s="29"/>
      <c r="B64" s="29"/>
      <c r="C64" s="29"/>
      <c r="D64" s="29"/>
      <c r="E64" s="29"/>
      <c r="F64" s="29"/>
    </row>
    <row r="65" spans="1:6" ht="15.5" hidden="1" customHeight="1">
      <c r="A65" s="29"/>
      <c r="B65" s="29"/>
      <c r="C65" s="29"/>
      <c r="D65" s="29"/>
      <c r="E65" s="29"/>
      <c r="F65" s="29"/>
    </row>
    <row r="66" spans="1:6" ht="15.5" hidden="1" customHeight="1">
      <c r="A66" s="29"/>
      <c r="B66" s="29"/>
      <c r="C66" s="29"/>
      <c r="D66" s="29"/>
      <c r="E66" s="29"/>
      <c r="F66" s="29"/>
    </row>
    <row r="67" spans="1:6" ht="15.5" hidden="1" customHeight="1">
      <c r="A67" s="29"/>
      <c r="B67" s="29"/>
      <c r="C67" s="29"/>
      <c r="D67" s="29"/>
      <c r="E67" s="29"/>
      <c r="F67" s="29"/>
    </row>
    <row r="68" spans="1:6" ht="15.5" hidden="1" customHeight="1">
      <c r="A68" s="29"/>
      <c r="B68" s="29"/>
      <c r="C68" s="29"/>
      <c r="D68" s="29"/>
      <c r="E68" s="29"/>
      <c r="F68" s="29"/>
    </row>
    <row r="69" spans="1:6" ht="15.5" hidden="1" customHeight="1">
      <c r="A69" s="29"/>
      <c r="B69" s="29"/>
      <c r="C69" s="29"/>
      <c r="D69" s="29"/>
      <c r="E69" s="29"/>
      <c r="F69" s="29"/>
    </row>
    <row r="70" spans="1:6" ht="15.5" hidden="1" customHeight="1">
      <c r="A70" s="29"/>
      <c r="B70" s="29"/>
      <c r="C70" s="29"/>
      <c r="D70" s="29"/>
      <c r="E70" s="29"/>
      <c r="F70" s="29"/>
    </row>
    <row r="71" spans="1:6" ht="15.5" hidden="1" customHeight="1">
      <c r="A71" s="29"/>
      <c r="B71" s="29"/>
      <c r="C71" s="29"/>
      <c r="D71" s="29"/>
      <c r="E71" s="29"/>
      <c r="F71" s="29"/>
    </row>
    <row r="72" spans="1:6" ht="15.5" hidden="1" customHeight="1">
      <c r="A72" s="29"/>
      <c r="B72" s="29"/>
      <c r="C72" s="29"/>
      <c r="D72" s="29"/>
      <c r="E72" s="29"/>
      <c r="F72" s="29"/>
    </row>
    <row r="73" spans="1:6" ht="15.5" hidden="1" customHeight="1">
      <c r="A73" s="29"/>
      <c r="B73" s="29"/>
      <c r="C73" s="29"/>
      <c r="D73" s="29"/>
      <c r="E73" s="29"/>
      <c r="F73" s="29"/>
    </row>
    <row r="74" spans="1:6" ht="15.5" hidden="1" customHeight="1">
      <c r="A74" s="29"/>
      <c r="B74" s="29"/>
      <c r="C74" s="29"/>
      <c r="D74" s="29"/>
      <c r="E74" s="29"/>
      <c r="F74" s="29"/>
    </row>
    <row r="75" spans="1:6" ht="15.5" hidden="1" customHeight="1">
      <c r="A75" s="29"/>
      <c r="B75" s="29"/>
      <c r="C75" s="29"/>
      <c r="D75" s="29"/>
      <c r="E75" s="29"/>
      <c r="F75" s="29"/>
    </row>
    <row r="76" spans="1:6" ht="15.5" hidden="1" customHeight="1">
      <c r="A76" s="29"/>
      <c r="B76" s="29"/>
      <c r="C76" s="29"/>
      <c r="D76" s="29"/>
      <c r="E76" s="29"/>
      <c r="F76" s="29"/>
    </row>
    <row r="77" spans="1:6" ht="15.5" hidden="1" customHeight="1">
      <c r="A77" s="29"/>
      <c r="B77" s="29"/>
      <c r="C77" s="29"/>
      <c r="D77" s="29"/>
      <c r="E77" s="29"/>
      <c r="F77" s="29"/>
    </row>
    <row r="78" spans="1:6" ht="15.5" hidden="1" customHeight="1">
      <c r="A78" s="29"/>
      <c r="B78" s="29"/>
      <c r="C78" s="29"/>
      <c r="D78" s="29"/>
      <c r="E78" s="29"/>
      <c r="F78" s="29"/>
    </row>
    <row r="79" spans="1:6" ht="15.5" hidden="1" customHeight="1">
      <c r="A79" s="29"/>
      <c r="B79" s="29"/>
      <c r="C79" s="29"/>
      <c r="D79" s="29"/>
      <c r="E79" s="29"/>
      <c r="F79" s="29"/>
    </row>
    <row r="80" spans="1:6" ht="15.5" hidden="1" customHeight="1">
      <c r="A80" s="29"/>
      <c r="B80" s="29"/>
      <c r="C80" s="29"/>
      <c r="D80" s="29"/>
      <c r="E80" s="29"/>
      <c r="F80" s="29"/>
    </row>
    <row r="81" spans="1:6" ht="15.5" hidden="1" customHeight="1">
      <c r="A81" s="29"/>
      <c r="B81" s="29"/>
      <c r="C81" s="29"/>
      <c r="D81" s="29"/>
      <c r="E81" s="29"/>
      <c r="F81" s="29"/>
    </row>
    <row r="82" spans="1:6" ht="15.5" hidden="1" customHeight="1">
      <c r="A82" s="29"/>
      <c r="B82" s="29"/>
      <c r="C82" s="29"/>
      <c r="D82" s="29"/>
      <c r="E82" s="29"/>
      <c r="F82" s="29"/>
    </row>
    <row r="83" spans="1:6" ht="15.5" hidden="1" customHeight="1">
      <c r="A83" s="29"/>
      <c r="B83" s="29"/>
      <c r="C83" s="29"/>
      <c r="D83" s="29"/>
      <c r="E83" s="29"/>
      <c r="F83" s="29"/>
    </row>
    <row r="84" spans="1:6" ht="15.5" hidden="1" customHeight="1">
      <c r="A84" s="29"/>
      <c r="B84" s="29"/>
      <c r="C84" s="29"/>
      <c r="D84" s="29"/>
      <c r="E84" s="29"/>
      <c r="F84" s="29"/>
    </row>
    <row r="85" spans="1:6" ht="15.5" hidden="1" customHeight="1">
      <c r="A85" s="29"/>
      <c r="B85" s="29"/>
      <c r="C85" s="29"/>
      <c r="D85" s="29"/>
      <c r="E85" s="29"/>
      <c r="F85" s="29"/>
    </row>
    <row r="86" spans="1:6" ht="15.5" hidden="1" customHeight="1">
      <c r="A86" s="29"/>
      <c r="B86" s="29"/>
      <c r="C86" s="29"/>
      <c r="D86" s="29"/>
      <c r="E86" s="29"/>
      <c r="F86" s="29"/>
    </row>
    <row r="87" spans="1:6" ht="15.5" hidden="1" customHeight="1">
      <c r="A87" s="29"/>
      <c r="B87" s="29"/>
      <c r="C87" s="29"/>
      <c r="D87" s="29"/>
      <c r="E87" s="29"/>
      <c r="F87" s="29"/>
    </row>
    <row r="88" spans="1:6" ht="15.5" hidden="1" customHeight="1">
      <c r="A88" s="29"/>
      <c r="B88" s="29"/>
      <c r="C88" s="29"/>
      <c r="D88" s="29"/>
      <c r="E88" s="29"/>
      <c r="F88" s="29"/>
    </row>
    <row r="89" spans="1:6" ht="15.5" hidden="1" customHeight="1">
      <c r="A89" s="29"/>
      <c r="B89" s="29"/>
      <c r="C89" s="29"/>
      <c r="D89" s="29"/>
      <c r="E89" s="29"/>
      <c r="F89" s="29"/>
    </row>
    <row r="90" spans="1:6" ht="15.5" hidden="1" customHeight="1">
      <c r="A90" s="29"/>
      <c r="B90" s="29"/>
      <c r="C90" s="29"/>
      <c r="D90" s="29"/>
      <c r="E90" s="29"/>
      <c r="F90" s="29"/>
    </row>
    <row r="91" spans="1:6" ht="15.5" hidden="1" customHeight="1">
      <c r="A91" s="29"/>
      <c r="B91" s="29"/>
      <c r="C91" s="29"/>
      <c r="D91" s="29"/>
      <c r="E91" s="29"/>
      <c r="F91" s="29"/>
    </row>
    <row r="92" spans="1:6" ht="15.5" hidden="1" customHeight="1">
      <c r="A92" s="29"/>
      <c r="B92" s="29"/>
      <c r="C92" s="29"/>
      <c r="D92" s="29"/>
      <c r="E92" s="29"/>
      <c r="F92" s="29"/>
    </row>
    <row r="93" spans="1:6" ht="15.5" hidden="1" customHeight="1">
      <c r="A93" s="29"/>
      <c r="B93" s="29"/>
      <c r="C93" s="29"/>
      <c r="D93" s="29"/>
      <c r="E93" s="29"/>
      <c r="F93" s="29"/>
    </row>
    <row r="94" spans="1:6" ht="15.5" hidden="1" customHeight="1">
      <c r="A94" s="29"/>
      <c r="B94" s="29"/>
      <c r="C94" s="29"/>
      <c r="D94" s="29"/>
      <c r="E94" s="29"/>
      <c r="F94" s="29"/>
    </row>
    <row r="95" spans="1:6" ht="15.5" hidden="1" customHeight="1">
      <c r="A95" s="29"/>
      <c r="B95" s="29"/>
      <c r="C95" s="29"/>
      <c r="D95" s="29"/>
      <c r="E95" s="29"/>
      <c r="F95" s="29"/>
    </row>
    <row r="96" spans="1:6" ht="15.5" hidden="1" customHeight="1">
      <c r="A96" s="29"/>
      <c r="B96" s="29"/>
      <c r="C96" s="29"/>
      <c r="D96" s="29"/>
      <c r="E96" s="29"/>
      <c r="F96" s="29"/>
    </row>
    <row r="97" spans="1:6" ht="15.5" hidden="1" customHeight="1">
      <c r="A97" s="29"/>
      <c r="B97" s="29"/>
      <c r="C97" s="29"/>
      <c r="D97" s="29"/>
      <c r="E97" s="29"/>
      <c r="F97" s="29"/>
    </row>
    <row r="98" spans="1:6" ht="15.5" hidden="1" customHeight="1">
      <c r="A98" s="29"/>
      <c r="B98" s="29"/>
      <c r="C98" s="29"/>
      <c r="D98" s="29"/>
      <c r="E98" s="29"/>
      <c r="F98" s="29"/>
    </row>
    <row r="99" spans="1:6" ht="15.5" hidden="1" customHeight="1">
      <c r="A99" s="29"/>
      <c r="B99" s="29"/>
      <c r="C99" s="29"/>
      <c r="D99" s="29"/>
      <c r="E99" s="29"/>
      <c r="F99" s="29"/>
    </row>
    <row r="100" spans="1:6" ht="15.5" hidden="1" customHeight="1">
      <c r="A100" s="29"/>
      <c r="B100" s="29"/>
      <c r="C100" s="29"/>
      <c r="D100" s="29"/>
      <c r="E100" s="29"/>
      <c r="F100" s="29"/>
    </row>
    <row r="101" spans="1:6" ht="15.5" hidden="1" customHeight="1">
      <c r="A101" s="29"/>
      <c r="B101" s="29"/>
      <c r="C101" s="29"/>
      <c r="D101" s="29"/>
      <c r="E101" s="29"/>
      <c r="F101" s="29"/>
    </row>
    <row r="102" spans="1:6" ht="15.5" hidden="1" customHeight="1">
      <c r="A102" s="29"/>
      <c r="B102" s="29"/>
      <c r="C102" s="29"/>
      <c r="D102" s="29"/>
      <c r="E102" s="29"/>
      <c r="F102" s="29"/>
    </row>
    <row r="103" spans="1:6" ht="15.5" hidden="1" customHeight="1">
      <c r="A103" s="29"/>
      <c r="B103" s="29"/>
      <c r="C103" s="29"/>
      <c r="D103" s="29"/>
      <c r="E103" s="29"/>
      <c r="F103" s="29"/>
    </row>
    <row r="104" spans="1:6" ht="15.5" hidden="1" customHeight="1">
      <c r="A104" s="29"/>
      <c r="B104" s="29"/>
      <c r="C104" s="29"/>
      <c r="D104" s="29"/>
      <c r="E104" s="29"/>
      <c r="F104" s="29"/>
    </row>
    <row r="105" spans="1:6" ht="15.5" hidden="1" customHeight="1">
      <c r="A105" s="29"/>
      <c r="B105" s="29"/>
      <c r="C105" s="29"/>
      <c r="D105" s="29"/>
      <c r="E105" s="29"/>
      <c r="F105" s="29"/>
    </row>
    <row r="106" spans="1:6" ht="15.5" hidden="1" customHeight="1">
      <c r="A106" s="29"/>
      <c r="B106" s="29"/>
      <c r="C106" s="29"/>
      <c r="D106" s="29"/>
      <c r="E106" s="29"/>
      <c r="F106" s="29"/>
    </row>
    <row r="107" spans="1:6" ht="15.5" hidden="1" customHeight="1">
      <c r="A107" s="29"/>
      <c r="B107" s="29"/>
      <c r="C107" s="29"/>
      <c r="D107" s="29"/>
      <c r="E107" s="29"/>
      <c r="F107" s="29"/>
    </row>
    <row r="108" spans="1:6" ht="15.5" hidden="1" customHeight="1">
      <c r="A108" s="29"/>
      <c r="B108" s="29"/>
      <c r="C108" s="29"/>
      <c r="D108" s="29"/>
      <c r="E108" s="29"/>
      <c r="F108" s="29"/>
    </row>
    <row r="109" spans="1:6" ht="15.5" hidden="1" customHeight="1">
      <c r="A109" s="29"/>
      <c r="B109" s="29"/>
      <c r="C109" s="29"/>
      <c r="D109" s="29"/>
      <c r="E109" s="29"/>
      <c r="F109" s="29"/>
    </row>
    <row r="110" spans="1:6" ht="15.5" hidden="1" customHeight="1">
      <c r="A110" s="29"/>
      <c r="B110" s="29"/>
      <c r="C110" s="29"/>
      <c r="D110" s="29"/>
      <c r="E110" s="29"/>
      <c r="F110" s="29"/>
    </row>
    <row r="111" spans="1:6" ht="15.5" hidden="1" customHeight="1">
      <c r="A111" s="29"/>
      <c r="B111" s="29"/>
      <c r="C111" s="29"/>
      <c r="D111" s="29"/>
      <c r="E111" s="29"/>
      <c r="F111" s="29"/>
    </row>
    <row r="112" spans="1:6" ht="15.5" hidden="1" customHeight="1">
      <c r="A112" s="29"/>
      <c r="B112" s="29"/>
      <c r="C112" s="29"/>
      <c r="D112" s="29"/>
      <c r="E112" s="29"/>
      <c r="F112" s="29"/>
    </row>
    <row r="113" spans="1:6" ht="15.5" hidden="1" customHeight="1">
      <c r="A113" s="29"/>
      <c r="B113" s="29"/>
      <c r="C113" s="29"/>
      <c r="D113" s="29"/>
      <c r="E113" s="29"/>
      <c r="F113" s="29"/>
    </row>
    <row r="114" spans="1:6" ht="15.5" hidden="1" customHeight="1">
      <c r="A114" s="29"/>
      <c r="B114" s="29"/>
      <c r="C114" s="29"/>
      <c r="D114" s="29"/>
      <c r="E114" s="29"/>
      <c r="F114" s="29"/>
    </row>
    <row r="115" spans="1:6" ht="15.5" hidden="1" customHeight="1">
      <c r="A115" s="29"/>
      <c r="B115" s="29"/>
      <c r="C115" s="29"/>
      <c r="D115" s="29"/>
      <c r="E115" s="29"/>
      <c r="F115" s="29"/>
    </row>
    <row r="116" spans="1:6" ht="15.5" hidden="1" customHeight="1">
      <c r="A116" s="29"/>
      <c r="B116" s="29"/>
      <c r="C116" s="29"/>
      <c r="D116" s="29"/>
      <c r="E116" s="29"/>
      <c r="F116" s="29"/>
    </row>
    <row r="117" spans="1:6" ht="15.5" hidden="1" customHeight="1">
      <c r="A117" s="29"/>
      <c r="B117" s="29"/>
      <c r="C117" s="29"/>
      <c r="D117" s="29"/>
      <c r="E117" s="29"/>
      <c r="F117" s="29"/>
    </row>
    <row r="118" spans="1:6" ht="15.5" hidden="1" customHeight="1">
      <c r="A118" s="29"/>
      <c r="B118" s="29"/>
      <c r="C118" s="29"/>
      <c r="D118" s="29"/>
      <c r="E118" s="29"/>
      <c r="F118" s="29"/>
    </row>
    <row r="119" spans="1:6" ht="15.5" hidden="1" customHeight="1">
      <c r="A119" s="29"/>
      <c r="B119" s="29"/>
      <c r="C119" s="29"/>
      <c r="D119" s="29"/>
      <c r="E119" s="29"/>
      <c r="F119" s="29"/>
    </row>
    <row r="120" spans="1:6" ht="15.5" hidden="1" customHeight="1">
      <c r="A120" s="29"/>
      <c r="B120" s="29"/>
      <c r="C120" s="29"/>
      <c r="D120" s="29"/>
      <c r="E120" s="29"/>
      <c r="F120" s="29"/>
    </row>
    <row r="121" spans="1:6" ht="15.5" hidden="1" customHeight="1">
      <c r="A121" s="29"/>
      <c r="B121" s="29"/>
      <c r="C121" s="29"/>
      <c r="D121" s="29"/>
      <c r="E121" s="29"/>
      <c r="F121" s="29"/>
    </row>
    <row r="122" spans="1:6" ht="15.5" hidden="1" customHeight="1">
      <c r="A122" s="29"/>
      <c r="B122" s="29"/>
      <c r="C122" s="29"/>
      <c r="D122" s="29"/>
      <c r="E122" s="29"/>
      <c r="F122" s="29"/>
    </row>
    <row r="123" spans="1:6" ht="15.5" hidden="1" customHeight="1">
      <c r="A123" s="29"/>
      <c r="B123" s="29"/>
      <c r="C123" s="29"/>
      <c r="D123" s="29"/>
      <c r="E123" s="29"/>
      <c r="F123" s="29"/>
    </row>
    <row r="124" spans="1:6" ht="15.5" hidden="1" customHeight="1">
      <c r="A124" s="29"/>
      <c r="B124" s="29"/>
      <c r="C124" s="29"/>
      <c r="D124" s="29"/>
      <c r="E124" s="29"/>
      <c r="F124" s="29"/>
    </row>
    <row r="125" spans="1:6" ht="15.5" hidden="1" customHeight="1">
      <c r="A125" s="29"/>
      <c r="B125" s="29"/>
      <c r="C125" s="29"/>
      <c r="D125" s="29"/>
      <c r="E125" s="29"/>
      <c r="F125" s="29"/>
    </row>
    <row r="126" spans="1:6" ht="15.5" hidden="1" customHeight="1">
      <c r="A126" s="29"/>
      <c r="B126" s="29"/>
      <c r="C126" s="29"/>
      <c r="D126" s="29"/>
      <c r="E126" s="29"/>
      <c r="F126" s="29"/>
    </row>
    <row r="127" spans="1:6" ht="15.5" hidden="1" customHeight="1">
      <c r="A127" s="29"/>
      <c r="B127" s="29"/>
      <c r="C127" s="29"/>
      <c r="D127" s="29"/>
      <c r="E127" s="29"/>
      <c r="F127" s="29"/>
    </row>
    <row r="128" spans="1:6" ht="15.5" hidden="1" customHeight="1">
      <c r="A128" s="29"/>
      <c r="B128" s="29"/>
      <c r="C128" s="29"/>
      <c r="D128" s="29"/>
      <c r="E128" s="29"/>
      <c r="F128" s="29"/>
    </row>
    <row r="129" spans="1:6" ht="15.5" hidden="1" customHeight="1">
      <c r="A129" s="29"/>
      <c r="B129" s="29"/>
      <c r="C129" s="29"/>
      <c r="D129" s="29"/>
      <c r="E129" s="29"/>
      <c r="F129" s="29"/>
    </row>
    <row r="130" spans="1:6" ht="15.5" hidden="1" customHeight="1">
      <c r="A130" s="29"/>
      <c r="B130" s="29"/>
      <c r="C130" s="29"/>
      <c r="D130" s="29"/>
      <c r="E130" s="29"/>
      <c r="F130" s="29"/>
    </row>
    <row r="131" spans="1:6" ht="15.5" hidden="1" customHeight="1">
      <c r="A131" s="29"/>
      <c r="B131" s="29"/>
      <c r="C131" s="29"/>
      <c r="D131" s="29"/>
      <c r="E131" s="29"/>
      <c r="F131" s="29"/>
    </row>
    <row r="132" spans="1:6" ht="15.5" hidden="1" customHeight="1">
      <c r="A132" s="29"/>
      <c r="B132" s="29"/>
      <c r="C132" s="29"/>
      <c r="D132" s="29"/>
      <c r="E132" s="29"/>
      <c r="F132" s="29"/>
    </row>
    <row r="133" spans="1:6" ht="15.5" hidden="1" customHeight="1">
      <c r="A133" s="29"/>
      <c r="B133" s="29"/>
      <c r="C133" s="29"/>
      <c r="D133" s="29"/>
      <c r="E133" s="29"/>
      <c r="F133" s="29"/>
    </row>
    <row r="134" spans="1:6" ht="15.5" hidden="1" customHeight="1">
      <c r="A134" s="29"/>
      <c r="B134" s="29"/>
      <c r="C134" s="29"/>
      <c r="D134" s="29"/>
      <c r="E134" s="29"/>
      <c r="F134" s="29"/>
    </row>
    <row r="135" spans="1:6" ht="15.5" hidden="1" customHeight="1">
      <c r="A135" s="29"/>
      <c r="B135" s="29"/>
      <c r="C135" s="29"/>
      <c r="D135" s="29"/>
      <c r="E135" s="29"/>
      <c r="F135" s="29"/>
    </row>
    <row r="136" spans="1:6" ht="15.5" hidden="1" customHeight="1">
      <c r="A136" s="29"/>
      <c r="B136" s="29"/>
      <c r="C136" s="29"/>
      <c r="D136" s="29"/>
      <c r="E136" s="29"/>
      <c r="F136" s="29"/>
    </row>
    <row r="137" spans="1:6" ht="15.5" hidden="1" customHeight="1">
      <c r="A137" s="29"/>
      <c r="B137" s="29"/>
      <c r="C137" s="29"/>
      <c r="D137" s="29"/>
      <c r="E137" s="29"/>
      <c r="F137" s="29"/>
    </row>
    <row r="138" spans="1:6" ht="15.5" hidden="1" customHeight="1">
      <c r="A138" s="29"/>
      <c r="B138" s="29"/>
      <c r="C138" s="29"/>
      <c r="D138" s="29"/>
      <c r="E138" s="29"/>
      <c r="F138" s="29"/>
    </row>
    <row r="139" spans="1:6" ht="15.5" hidden="1" customHeight="1">
      <c r="A139" s="29"/>
      <c r="B139" s="29"/>
      <c r="C139" s="29"/>
      <c r="D139" s="29"/>
      <c r="E139" s="29"/>
      <c r="F139" s="29"/>
    </row>
    <row r="140" spans="1:6" ht="15.5" hidden="1" customHeight="1">
      <c r="A140" s="29"/>
      <c r="B140" s="29"/>
      <c r="C140" s="29"/>
      <c r="D140" s="29"/>
      <c r="E140" s="29"/>
      <c r="F140" s="29"/>
    </row>
    <row r="141" spans="1:6" ht="15.5" hidden="1" customHeight="1">
      <c r="A141" s="29"/>
      <c r="B141" s="29"/>
      <c r="C141" s="29"/>
      <c r="D141" s="29"/>
      <c r="E141" s="29"/>
      <c r="F141" s="29"/>
    </row>
    <row r="142" spans="1:6" ht="15.5" hidden="1" customHeight="1">
      <c r="A142" s="29"/>
      <c r="B142" s="29"/>
      <c r="C142" s="29"/>
      <c r="D142" s="29"/>
      <c r="E142" s="29"/>
      <c r="F142" s="29"/>
    </row>
    <row r="143" spans="1:6" ht="15.5" hidden="1" customHeight="1">
      <c r="A143" s="29"/>
      <c r="B143" s="29"/>
      <c r="C143" s="29"/>
      <c r="D143" s="29"/>
      <c r="E143" s="29"/>
      <c r="F143" s="29"/>
    </row>
    <row r="144" spans="1:6" ht="15.5" hidden="1" customHeight="1">
      <c r="A144" s="29"/>
      <c r="B144" s="29"/>
      <c r="C144" s="29"/>
      <c r="D144" s="29"/>
      <c r="E144" s="29"/>
      <c r="F144" s="29"/>
    </row>
    <row r="145" spans="1:6" ht="15.5" hidden="1" customHeight="1">
      <c r="A145" s="29"/>
      <c r="B145" s="29"/>
      <c r="C145" s="29"/>
      <c r="D145" s="29"/>
      <c r="E145" s="29"/>
      <c r="F145" s="29"/>
    </row>
    <row r="146" spans="1:6" ht="15.5" hidden="1" customHeight="1">
      <c r="A146" s="29"/>
      <c r="B146" s="29"/>
      <c r="C146" s="29"/>
      <c r="D146" s="29"/>
      <c r="E146" s="29"/>
      <c r="F146" s="29"/>
    </row>
    <row r="147" spans="1:6" ht="15.5" hidden="1" customHeight="1">
      <c r="A147" s="29"/>
      <c r="B147" s="29"/>
      <c r="C147" s="29"/>
      <c r="D147" s="29"/>
      <c r="E147" s="29"/>
      <c r="F147" s="29"/>
    </row>
    <row r="148" spans="1:6" ht="15.5" hidden="1" customHeight="1">
      <c r="A148" s="29"/>
      <c r="B148" s="29"/>
      <c r="C148" s="29"/>
      <c r="D148" s="29"/>
      <c r="E148" s="29"/>
      <c r="F148" s="29"/>
    </row>
    <row r="149" spans="1:6" ht="15.5" hidden="1" customHeight="1">
      <c r="A149" s="29"/>
      <c r="B149" s="29"/>
      <c r="C149" s="29"/>
      <c r="D149" s="29"/>
      <c r="E149" s="29"/>
      <c r="F149" s="29"/>
    </row>
    <row r="150" spans="1:6" ht="15.5" hidden="1" customHeight="1">
      <c r="A150" s="29"/>
      <c r="B150" s="29"/>
      <c r="C150" s="29"/>
      <c r="D150" s="29"/>
      <c r="E150" s="29"/>
      <c r="F150" s="29"/>
    </row>
    <row r="151" spans="1:6" ht="15.5" hidden="1" customHeight="1">
      <c r="A151" s="29"/>
      <c r="B151" s="29"/>
      <c r="C151" s="29"/>
      <c r="D151" s="29"/>
      <c r="E151" s="29"/>
      <c r="F151" s="29"/>
    </row>
    <row r="152" spans="1:6" ht="15.5" hidden="1" customHeight="1">
      <c r="A152" s="29"/>
      <c r="B152" s="29"/>
      <c r="C152" s="29"/>
      <c r="D152" s="29"/>
      <c r="E152" s="29"/>
      <c r="F152" s="29"/>
    </row>
    <row r="153" spans="1:6" ht="15.5" hidden="1" customHeight="1">
      <c r="A153" s="29"/>
      <c r="B153" s="29"/>
      <c r="C153" s="29"/>
      <c r="D153" s="29"/>
      <c r="E153" s="29"/>
      <c r="F153" s="29"/>
    </row>
    <row r="154" spans="1:6" ht="15.5" hidden="1" customHeight="1">
      <c r="A154" s="29"/>
      <c r="B154" s="29"/>
      <c r="C154" s="29"/>
      <c r="D154" s="29"/>
      <c r="E154" s="29"/>
      <c r="F154" s="29"/>
    </row>
    <row r="155" spans="1:6" ht="15.5" hidden="1" customHeight="1">
      <c r="A155" s="29"/>
      <c r="B155" s="29"/>
      <c r="C155" s="29"/>
      <c r="D155" s="29"/>
      <c r="E155" s="29"/>
      <c r="F155" s="29"/>
    </row>
    <row r="156" spans="1:6" ht="15.5" hidden="1" customHeight="1">
      <c r="A156" s="29"/>
      <c r="B156" s="29"/>
      <c r="C156" s="29"/>
      <c r="D156" s="29"/>
      <c r="E156" s="29"/>
      <c r="F156" s="29"/>
    </row>
    <row r="157" spans="1:6" ht="15.5" hidden="1" customHeight="1">
      <c r="A157" s="29"/>
      <c r="B157" s="29"/>
      <c r="C157" s="29"/>
      <c r="D157" s="29"/>
      <c r="E157" s="29"/>
      <c r="F157" s="29"/>
    </row>
    <row r="158" spans="1:6" ht="15.5" hidden="1" customHeight="1">
      <c r="A158" s="29"/>
      <c r="B158" s="29"/>
      <c r="C158" s="29"/>
      <c r="D158" s="29"/>
      <c r="E158" s="29"/>
      <c r="F158" s="29"/>
    </row>
    <row r="159" spans="1:6" ht="15.5" hidden="1" customHeight="1">
      <c r="A159" s="29"/>
      <c r="B159" s="29"/>
      <c r="C159" s="29"/>
      <c r="D159" s="29"/>
      <c r="E159" s="29"/>
      <c r="F159" s="29"/>
    </row>
    <row r="160" spans="1:6" ht="15.5" hidden="1" customHeight="1">
      <c r="A160" s="29"/>
      <c r="B160" s="29"/>
      <c r="C160" s="29"/>
      <c r="D160" s="29"/>
      <c r="E160" s="29"/>
      <c r="F160" s="29"/>
    </row>
    <row r="161" spans="1:7" ht="15.5" hidden="1" customHeight="1">
      <c r="A161" s="29"/>
      <c r="B161" s="29"/>
      <c r="C161" s="29"/>
      <c r="D161" s="29"/>
      <c r="E161" s="29"/>
      <c r="F161" s="29"/>
    </row>
    <row r="162" spans="1:7" ht="15.5" hidden="1" customHeight="1">
      <c r="A162" s="29"/>
      <c r="B162" s="29"/>
      <c r="C162" s="29"/>
      <c r="D162" s="29"/>
      <c r="E162" s="29"/>
      <c r="F162" s="29"/>
    </row>
    <row r="163" spans="1:7" ht="15.5" hidden="1" customHeight="1">
      <c r="A163" s="29"/>
      <c r="B163" s="29"/>
      <c r="C163" s="29"/>
      <c r="D163" s="29"/>
      <c r="E163" s="29"/>
      <c r="F163" s="29"/>
    </row>
    <row r="164" spans="1:7" ht="15.5" hidden="1" customHeight="1">
      <c r="A164" s="29"/>
      <c r="B164" s="29"/>
      <c r="C164" s="29"/>
      <c r="D164" s="29"/>
      <c r="E164" s="29"/>
      <c r="F164" s="29"/>
    </row>
    <row r="165" spans="1:7" ht="15.5" hidden="1" customHeight="1">
      <c r="A165" s="29"/>
      <c r="B165" s="29"/>
      <c r="C165" s="29"/>
      <c r="D165" s="29"/>
      <c r="E165" s="29"/>
      <c r="F165" s="29"/>
    </row>
    <row r="166" spans="1:7" ht="15.5" hidden="1" customHeight="1">
      <c r="A166" s="29"/>
      <c r="B166" s="29"/>
      <c r="C166" s="29"/>
      <c r="D166" s="29"/>
      <c r="E166" s="29"/>
      <c r="F166" s="29"/>
    </row>
    <row r="167" spans="1:7" ht="15.5" hidden="1" customHeight="1">
      <c r="A167" s="29"/>
      <c r="B167" s="29"/>
      <c r="C167" s="29"/>
      <c r="D167" s="29"/>
      <c r="E167" s="29"/>
      <c r="F167" s="29"/>
    </row>
    <row r="168" spans="1:7" ht="15.5">
      <c r="A168" s="50" t="s">
        <v>100</v>
      </c>
      <c r="B168" s="51"/>
      <c r="C168" s="51"/>
      <c r="D168" s="51"/>
      <c r="E168" s="51"/>
      <c r="F168" s="23">
        <f>F29+F21+F9</f>
        <v>306996300</v>
      </c>
      <c r="G168" s="103">
        <f>G9+G19+F29</f>
        <v>258960000</v>
      </c>
    </row>
    <row r="169" spans="1:7">
      <c r="D169" s="71"/>
    </row>
  </sheetData>
  <mergeCells count="9">
    <mergeCell ref="A20:E20"/>
    <mergeCell ref="A21:E21"/>
    <mergeCell ref="A23:F23"/>
    <mergeCell ref="A1:F1"/>
    <mergeCell ref="A2:F2"/>
    <mergeCell ref="A5:F5"/>
    <mergeCell ref="A9:E9"/>
    <mergeCell ref="A10:F10"/>
    <mergeCell ref="A19:E19"/>
  </mergeCells>
  <phoneticPr fontId="116" type="noConversion"/>
  <pageMargins left="0.51181102362204722" right="0.31496062992125984" top="0.74803149606299213" bottom="0.35433070866141736" header="0.31496062992125984" footer="0.31496062992125984"/>
  <pageSetup scale="75" orientation="portrait" horizontalDpi="360" verticalDpi="360" r:id="rId1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4975-7764-460D-81C4-4A9C095A88A2}">
  <dimension ref="B3:Y45"/>
  <sheetViews>
    <sheetView topLeftCell="A14" workbookViewId="0">
      <selection activeCell="C28" sqref="C28:G28"/>
    </sheetView>
  </sheetViews>
  <sheetFormatPr defaultRowHeight="14"/>
  <cols>
    <col min="1" max="1" width="3.6328125" style="76" customWidth="1"/>
    <col min="2" max="2" width="5.81640625" style="76" customWidth="1"/>
    <col min="3" max="3" width="16.08984375" style="76" customWidth="1"/>
    <col min="4" max="4" width="16.26953125" style="76" customWidth="1"/>
    <col min="5" max="5" width="17.26953125" style="76" customWidth="1"/>
    <col min="6" max="6" width="8.7265625" style="106"/>
    <col min="7" max="7" width="20.453125" style="106" customWidth="1"/>
    <col min="8" max="8" width="9.90625" style="106" customWidth="1"/>
    <col min="9" max="10" width="8.7265625" style="106"/>
    <col min="11" max="11" width="14.90625" style="106" customWidth="1"/>
    <col min="12" max="12" width="20.26953125" style="106" customWidth="1"/>
    <col min="13" max="13" width="24.08984375" style="106" customWidth="1"/>
    <col min="14" max="14" width="8.36328125" style="106" customWidth="1"/>
    <col min="15" max="15" width="5.1796875" style="76" customWidth="1"/>
    <col min="16" max="16" width="42.6328125" style="76" customWidth="1"/>
    <col min="17" max="17" width="10.36328125" style="76" customWidth="1"/>
    <col min="18" max="18" width="8.7265625" style="76"/>
    <col min="19" max="19" width="12.7265625" style="76" customWidth="1"/>
    <col min="20" max="20" width="11.6328125" style="76" customWidth="1"/>
    <col min="21" max="21" width="11.1796875" style="76" customWidth="1"/>
    <col min="22" max="22" width="12.08984375" style="76" customWidth="1"/>
    <col min="23" max="23" width="16.90625" style="76" customWidth="1"/>
    <col min="24" max="24" width="13.81640625" style="76" customWidth="1"/>
    <col min="25" max="25" width="17.1796875" style="76" customWidth="1"/>
    <col min="26" max="16384" width="8.7265625" style="76"/>
  </cols>
  <sheetData>
    <row r="3" spans="2:25" ht="15.5">
      <c r="B3" s="7" t="s">
        <v>83</v>
      </c>
      <c r="C3" s="7" t="s">
        <v>84</v>
      </c>
      <c r="D3" s="7" t="s">
        <v>90</v>
      </c>
      <c r="E3" s="7" t="s">
        <v>47</v>
      </c>
      <c r="G3" s="107" t="s">
        <v>125</v>
      </c>
    </row>
    <row r="4" spans="2:25" ht="14.5">
      <c r="B4" s="78">
        <v>1</v>
      </c>
      <c r="C4" s="78" t="s">
        <v>85</v>
      </c>
      <c r="D4" s="81">
        <v>1.1200000000000001</v>
      </c>
      <c r="E4" s="79" t="s">
        <v>91</v>
      </c>
      <c r="G4" s="106" t="s">
        <v>106</v>
      </c>
      <c r="H4" s="106">
        <f>160+230+200</f>
        <v>590</v>
      </c>
      <c r="I4" s="106" t="s">
        <v>107</v>
      </c>
      <c r="J4" s="106">
        <v>600</v>
      </c>
      <c r="K4" s="106" t="s">
        <v>107</v>
      </c>
      <c r="O4" s="104" t="s">
        <v>3</v>
      </c>
      <c r="P4" s="104" t="s">
        <v>4</v>
      </c>
      <c r="Q4" s="105" t="s">
        <v>5</v>
      </c>
      <c r="R4" s="105" t="s">
        <v>6</v>
      </c>
      <c r="S4" s="105" t="s">
        <v>39</v>
      </c>
      <c r="T4" s="105" t="s">
        <v>8</v>
      </c>
      <c r="U4" s="105" t="s">
        <v>54</v>
      </c>
      <c r="V4" s="105" t="s">
        <v>111</v>
      </c>
      <c r="W4" s="105" t="s">
        <v>112</v>
      </c>
      <c r="X4" s="105" t="s">
        <v>113</v>
      </c>
      <c r="Y4" s="105" t="s">
        <v>8</v>
      </c>
    </row>
    <row r="5" spans="2:25" ht="14.5">
      <c r="B5" s="78">
        <v>2</v>
      </c>
      <c r="C5" s="78" t="s">
        <v>86</v>
      </c>
      <c r="D5" s="81">
        <v>1.63</v>
      </c>
      <c r="E5" s="79" t="s">
        <v>92</v>
      </c>
      <c r="F5" s="106" t="s">
        <v>78</v>
      </c>
      <c r="J5" s="106">
        <f>J4/5</f>
        <v>120</v>
      </c>
      <c r="K5" s="106" t="s">
        <v>108</v>
      </c>
      <c r="L5" s="106" t="s">
        <v>126</v>
      </c>
      <c r="O5" s="84">
        <v>1</v>
      </c>
      <c r="P5" s="84" t="s">
        <v>114</v>
      </c>
      <c r="Q5" s="84" t="s">
        <v>9</v>
      </c>
      <c r="R5" s="85">
        <v>1200</v>
      </c>
      <c r="S5" s="85">
        <v>40000</v>
      </c>
      <c r="T5" s="85">
        <v>6120000</v>
      </c>
      <c r="U5" s="85">
        <f>S5*11%</f>
        <v>4400</v>
      </c>
      <c r="V5" s="85">
        <f>S5*2%</f>
        <v>800</v>
      </c>
      <c r="W5" s="85">
        <f>S5+U5+V5</f>
        <v>45200</v>
      </c>
      <c r="X5" s="85">
        <v>19500</v>
      </c>
      <c r="Y5" s="85">
        <f>R5*X5</f>
        <v>23400000</v>
      </c>
    </row>
    <row r="6" spans="2:25" ht="14.5">
      <c r="B6" s="78">
        <v>3</v>
      </c>
      <c r="C6" s="78" t="s">
        <v>87</v>
      </c>
      <c r="D6" s="81">
        <v>0.56999999999999995</v>
      </c>
      <c r="E6" s="79" t="s">
        <v>93</v>
      </c>
      <c r="F6" s="120">
        <f>D4+D5+D6</f>
        <v>3.32</v>
      </c>
      <c r="O6" s="84">
        <v>2</v>
      </c>
      <c r="P6" s="84" t="s">
        <v>115</v>
      </c>
      <c r="Q6" s="84" t="s">
        <v>9</v>
      </c>
      <c r="R6" s="85">
        <v>6250</v>
      </c>
      <c r="S6" s="85">
        <v>850</v>
      </c>
      <c r="T6" s="85">
        <v>1125000</v>
      </c>
      <c r="U6" s="85">
        <f>S6*11%</f>
        <v>93.5</v>
      </c>
      <c r="V6" s="85">
        <f>S6*2%</f>
        <v>17</v>
      </c>
      <c r="W6" s="85">
        <f>S6+U6+V6</f>
        <v>960.5</v>
      </c>
      <c r="X6" s="85">
        <v>700</v>
      </c>
      <c r="Y6" s="85">
        <f>R6*X6</f>
        <v>4375000</v>
      </c>
    </row>
    <row r="7" spans="2:25" ht="14.5">
      <c r="B7" s="78">
        <v>4</v>
      </c>
      <c r="C7" s="78" t="s">
        <v>88</v>
      </c>
      <c r="D7" s="82">
        <v>5.01</v>
      </c>
      <c r="E7" s="83" t="s">
        <v>94</v>
      </c>
      <c r="O7" s="84">
        <v>4</v>
      </c>
      <c r="P7" s="84" t="s">
        <v>116</v>
      </c>
      <c r="Q7" s="84"/>
      <c r="R7" s="85"/>
      <c r="S7" s="85"/>
      <c r="T7" s="85"/>
      <c r="U7" s="85">
        <f t="shared" ref="U7:U8" si="0">S7*11%</f>
        <v>0</v>
      </c>
      <c r="V7" s="85">
        <f t="shared" ref="V7:V8" si="1">S7*2%</f>
        <v>0</v>
      </c>
      <c r="W7" s="85">
        <f t="shared" ref="W7:W8" si="2">S7+U7+V7</f>
        <v>0</v>
      </c>
      <c r="X7" s="85"/>
      <c r="Y7" s="85">
        <f t="shared" ref="Y7:Y8" si="3">R7*X7</f>
        <v>0</v>
      </c>
    </row>
    <row r="8" spans="2:25" ht="14.5">
      <c r="B8" s="78">
        <v>5</v>
      </c>
      <c r="C8" s="78" t="s">
        <v>89</v>
      </c>
      <c r="D8" s="81"/>
      <c r="E8" s="79"/>
      <c r="O8" s="84" t="s">
        <v>117</v>
      </c>
      <c r="P8" s="84" t="s">
        <v>118</v>
      </c>
      <c r="Q8" s="84" t="s">
        <v>9</v>
      </c>
      <c r="R8" s="85">
        <v>1200</v>
      </c>
      <c r="S8" s="85">
        <v>7500</v>
      </c>
      <c r="T8" s="85">
        <v>1275000</v>
      </c>
      <c r="U8" s="85">
        <f t="shared" si="0"/>
        <v>825</v>
      </c>
      <c r="V8" s="85">
        <f t="shared" si="1"/>
        <v>150</v>
      </c>
      <c r="W8" s="85">
        <f t="shared" si="2"/>
        <v>8475</v>
      </c>
      <c r="X8" s="85">
        <v>4900</v>
      </c>
      <c r="Y8" s="85">
        <f t="shared" si="3"/>
        <v>5880000</v>
      </c>
    </row>
    <row r="9" spans="2:25" ht="14.5">
      <c r="B9" s="78"/>
      <c r="C9" s="78"/>
      <c r="D9" s="81"/>
      <c r="E9" s="79"/>
      <c r="G9" s="107" t="s">
        <v>127</v>
      </c>
      <c r="O9" s="84"/>
      <c r="P9" s="84"/>
      <c r="Q9" s="84"/>
      <c r="R9" s="84"/>
      <c r="S9" s="84"/>
      <c r="T9" s="84"/>
      <c r="U9" s="84"/>
      <c r="V9" s="84"/>
      <c r="W9" s="84"/>
      <c r="X9" s="84" t="s">
        <v>32</v>
      </c>
      <c r="Y9" s="86">
        <f>SUM(Y5:Y8)</f>
        <v>33655000</v>
      </c>
    </row>
    <row r="10" spans="2:25" ht="14.5">
      <c r="B10" s="201" t="s">
        <v>10</v>
      </c>
      <c r="C10" s="202"/>
      <c r="D10" s="81">
        <f>SUM(D4:D9)</f>
        <v>8.33</v>
      </c>
      <c r="E10" s="79"/>
      <c r="G10" s="106" t="s">
        <v>128</v>
      </c>
      <c r="H10" s="106">
        <v>30000</v>
      </c>
      <c r="I10" s="106" t="s">
        <v>108</v>
      </c>
      <c r="O10" s="84">
        <v>1</v>
      </c>
      <c r="P10" s="87" t="s">
        <v>119</v>
      </c>
      <c r="Q10" s="88" t="s">
        <v>82</v>
      </c>
      <c r="R10" s="89">
        <v>13</v>
      </c>
      <c r="S10" s="89">
        <v>855000</v>
      </c>
      <c r="T10" s="85">
        <f>R10*S10</f>
        <v>11115000</v>
      </c>
      <c r="U10" s="86">
        <f>S10*11%</f>
        <v>94050</v>
      </c>
      <c r="V10" s="86">
        <f>S10*2%</f>
        <v>17100</v>
      </c>
      <c r="W10" s="86">
        <f>S10+U10+V10</f>
        <v>966150</v>
      </c>
      <c r="X10" s="85">
        <v>574700</v>
      </c>
      <c r="Y10" s="85">
        <f>R10*X10</f>
        <v>7471100</v>
      </c>
    </row>
    <row r="11" spans="2:25" ht="14.5">
      <c r="B11" s="77"/>
      <c r="D11" s="80"/>
      <c r="G11" s="106" t="s">
        <v>129</v>
      </c>
      <c r="H11" s="106">
        <v>6</v>
      </c>
      <c r="I11" s="106" t="s">
        <v>107</v>
      </c>
      <c r="L11" s="106" t="s">
        <v>140</v>
      </c>
      <c r="O11" s="84">
        <v>2</v>
      </c>
      <c r="P11" s="87" t="s">
        <v>120</v>
      </c>
      <c r="Q11" s="88" t="s">
        <v>82</v>
      </c>
      <c r="R11" s="89">
        <v>4</v>
      </c>
      <c r="S11" s="89">
        <v>29000</v>
      </c>
      <c r="T11" s="85">
        <f t="shared" ref="T11:T13" si="4">R11*S11</f>
        <v>116000</v>
      </c>
      <c r="U11" s="86">
        <f t="shared" ref="U11:U13" si="5">S11*11%</f>
        <v>3190</v>
      </c>
      <c r="V11" s="86">
        <f t="shared" ref="V11:V13" si="6">S11*2%</f>
        <v>580</v>
      </c>
      <c r="W11" s="86">
        <f>S11+U11+V11</f>
        <v>32770</v>
      </c>
      <c r="X11" s="85">
        <v>23500</v>
      </c>
      <c r="Y11" s="85">
        <f t="shared" ref="Y11:Y13" si="7">R11*X11</f>
        <v>94000</v>
      </c>
    </row>
    <row r="12" spans="2:25" ht="14.5">
      <c r="G12" s="106" t="s">
        <v>130</v>
      </c>
      <c r="H12" s="106">
        <v>20000</v>
      </c>
      <c r="I12" s="106" t="s">
        <v>131</v>
      </c>
      <c r="O12" s="84">
        <v>3</v>
      </c>
      <c r="P12" s="87" t="s">
        <v>121</v>
      </c>
      <c r="Q12" s="88" t="s">
        <v>30</v>
      </c>
      <c r="R12" s="89">
        <v>8</v>
      </c>
      <c r="S12" s="89">
        <v>86500</v>
      </c>
      <c r="T12" s="85">
        <f t="shared" si="4"/>
        <v>692000</v>
      </c>
      <c r="U12" s="86">
        <f t="shared" si="5"/>
        <v>9515</v>
      </c>
      <c r="V12" s="86">
        <f t="shared" si="6"/>
        <v>1730</v>
      </c>
      <c r="W12" s="86">
        <f>S12+U12+V12</f>
        <v>97745</v>
      </c>
      <c r="X12" s="85">
        <v>69300</v>
      </c>
      <c r="Y12" s="85">
        <f t="shared" si="7"/>
        <v>554400</v>
      </c>
    </row>
    <row r="13" spans="2:25" ht="14.5">
      <c r="J13" s="106">
        <f>H10/16</f>
        <v>1875</v>
      </c>
      <c r="K13" s="106" t="s">
        <v>141</v>
      </c>
      <c r="L13" s="106">
        <f>J13*H12</f>
        <v>37500000</v>
      </c>
      <c r="M13" s="106" t="s">
        <v>143</v>
      </c>
      <c r="O13" s="84"/>
      <c r="P13" s="90" t="s">
        <v>122</v>
      </c>
      <c r="Q13" s="84"/>
      <c r="R13" s="91">
        <v>10</v>
      </c>
      <c r="S13" s="91">
        <v>35000</v>
      </c>
      <c r="T13" s="85">
        <f t="shared" si="4"/>
        <v>350000</v>
      </c>
      <c r="U13" s="86">
        <f t="shared" si="5"/>
        <v>3850</v>
      </c>
      <c r="V13" s="86">
        <f t="shared" si="6"/>
        <v>700</v>
      </c>
      <c r="W13" s="86">
        <f>S13+U13+V13</f>
        <v>39550</v>
      </c>
      <c r="X13" s="85">
        <v>69300</v>
      </c>
      <c r="Y13" s="85">
        <f t="shared" si="7"/>
        <v>693000</v>
      </c>
    </row>
    <row r="14" spans="2:25" ht="14.5">
      <c r="H14" s="106" t="s">
        <v>78</v>
      </c>
      <c r="L14" s="106">
        <f>L13/H10</f>
        <v>1250</v>
      </c>
      <c r="M14" s="106" t="s">
        <v>142</v>
      </c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</row>
    <row r="16" spans="2:25" ht="15.5">
      <c r="B16" s="7" t="s">
        <v>83</v>
      </c>
      <c r="C16" s="7" t="s">
        <v>84</v>
      </c>
      <c r="D16" s="7" t="s">
        <v>90</v>
      </c>
      <c r="E16" s="7" t="s">
        <v>47</v>
      </c>
    </row>
    <row r="17" spans="2:7">
      <c r="B17" s="78">
        <v>1</v>
      </c>
      <c r="C17" s="78" t="s">
        <v>85</v>
      </c>
      <c r="D17" s="143">
        <v>1.1200000000000001</v>
      </c>
      <c r="E17" s="144" t="s">
        <v>160</v>
      </c>
      <c r="G17" s="106">
        <f>150*70</f>
        <v>10500</v>
      </c>
    </row>
    <row r="18" spans="2:7">
      <c r="B18" s="78">
        <v>2</v>
      </c>
      <c r="C18" s="78" t="s">
        <v>86</v>
      </c>
      <c r="D18" s="143">
        <v>1.63</v>
      </c>
      <c r="E18" s="144" t="s">
        <v>161</v>
      </c>
      <c r="G18" s="106">
        <f>200*70</f>
        <v>14000</v>
      </c>
    </row>
    <row r="19" spans="2:7">
      <c r="B19" s="78">
        <v>3</v>
      </c>
      <c r="C19" s="78" t="s">
        <v>87</v>
      </c>
      <c r="D19" s="143">
        <v>0.56999999999999995</v>
      </c>
      <c r="E19" s="144" t="s">
        <v>162</v>
      </c>
      <c r="G19" s="106">
        <f>30*20</f>
        <v>600</v>
      </c>
    </row>
    <row r="20" spans="2:7">
      <c r="B20" s="78">
        <v>4</v>
      </c>
      <c r="C20" s="78" t="s">
        <v>88</v>
      </c>
      <c r="D20" s="143">
        <v>5.01</v>
      </c>
      <c r="E20" s="144" t="s">
        <v>162</v>
      </c>
      <c r="G20" s="106">
        <f>30*20</f>
        <v>600</v>
      </c>
    </row>
    <row r="21" spans="2:7">
      <c r="B21" s="78">
        <v>5</v>
      </c>
      <c r="C21" s="78"/>
      <c r="D21" s="81"/>
      <c r="E21" s="79"/>
      <c r="G21" s="145">
        <f>SUM(G17:G20)</f>
        <v>25700</v>
      </c>
    </row>
    <row r="22" spans="2:7">
      <c r="B22" s="78"/>
      <c r="C22" s="78"/>
      <c r="D22" s="81"/>
      <c r="E22" s="79"/>
    </row>
    <row r="23" spans="2:7">
      <c r="B23" s="201" t="s">
        <v>10</v>
      </c>
      <c r="C23" s="202"/>
      <c r="D23" s="146">
        <f>G21/10000</f>
        <v>2.57</v>
      </c>
      <c r="E23" s="79"/>
    </row>
    <row r="25" spans="2:7" s="106" customFormat="1"/>
    <row r="26" spans="2:7" s="106" customFormat="1"/>
    <row r="27" spans="2:7" s="106" customFormat="1"/>
    <row r="28" spans="2:7" s="106" customFormat="1"/>
    <row r="29" spans="2:7" s="106" customFormat="1"/>
    <row r="30" spans="2:7" s="106" customFormat="1"/>
    <row r="31" spans="2:7" s="106" customFormat="1"/>
    <row r="32" spans="2:7" s="106" customFormat="1"/>
    <row r="33" s="106" customFormat="1"/>
    <row r="34" s="106" customFormat="1"/>
    <row r="35" s="106" customFormat="1"/>
    <row r="36" s="106" customFormat="1"/>
    <row r="37" s="106" customFormat="1"/>
    <row r="38" s="106" customFormat="1"/>
    <row r="39" s="106" customFormat="1"/>
    <row r="40" s="106" customFormat="1"/>
    <row r="41" s="106" customFormat="1"/>
    <row r="42" s="106" customFormat="1"/>
    <row r="43" s="106" customFormat="1"/>
    <row r="44" s="106" customFormat="1"/>
    <row r="45" s="106" customFormat="1"/>
  </sheetData>
  <mergeCells count="2">
    <mergeCell ref="B10:C10"/>
    <mergeCell ref="B23:C23"/>
  </mergeCells>
  <phoneticPr fontId="11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B2176-04D8-4E5B-A0B7-FF00F4DA6611}">
  <dimension ref="A1:P167"/>
  <sheetViews>
    <sheetView zoomScale="58" zoomScaleNormal="58" workbookViewId="0">
      <selection activeCell="F8" sqref="F8"/>
    </sheetView>
  </sheetViews>
  <sheetFormatPr defaultColWidth="8.81640625" defaultRowHeight="14.5"/>
  <cols>
    <col min="1" max="1" width="5" bestFit="1" customWidth="1"/>
    <col min="2" max="2" width="50.6328125" customWidth="1"/>
    <col min="3" max="3" width="8.6328125" customWidth="1"/>
    <col min="4" max="4" width="12.6328125" customWidth="1"/>
    <col min="5" max="5" width="28.26953125" customWidth="1"/>
    <col min="6" max="6" width="26" customWidth="1"/>
    <col min="7" max="7" width="14.6328125" bestFit="1" customWidth="1"/>
  </cols>
  <sheetData>
    <row r="1" spans="1:16" ht="15.5">
      <c r="A1" s="192" t="s">
        <v>0</v>
      </c>
      <c r="B1" s="192"/>
      <c r="C1" s="192"/>
      <c r="D1" s="192"/>
      <c r="E1" s="192"/>
      <c r="F1" s="192"/>
    </row>
    <row r="2" spans="1:16" ht="15.5">
      <c r="A2" s="192" t="s">
        <v>75</v>
      </c>
      <c r="B2" s="192"/>
      <c r="C2" s="192"/>
      <c r="D2" s="192"/>
      <c r="E2" s="192"/>
      <c r="F2" s="192"/>
      <c r="J2" t="s">
        <v>63</v>
      </c>
    </row>
    <row r="3" spans="1:16" ht="15.5">
      <c r="A3" s="3" t="s">
        <v>1</v>
      </c>
      <c r="B3" s="4" t="s">
        <v>76</v>
      </c>
      <c r="C3" s="5"/>
      <c r="D3" s="5"/>
      <c r="E3" s="5"/>
      <c r="F3" s="6"/>
    </row>
    <row r="4" spans="1:16" ht="15.5">
      <c r="A4" s="189" t="s">
        <v>2</v>
      </c>
      <c r="B4" s="190"/>
      <c r="C4" s="190"/>
      <c r="D4" s="190"/>
      <c r="E4" s="190"/>
      <c r="F4" s="191"/>
    </row>
    <row r="5" spans="1:16" ht="15.5">
      <c r="A5" s="7" t="s">
        <v>3</v>
      </c>
      <c r="B5" s="7" t="s">
        <v>4</v>
      </c>
      <c r="C5" s="8" t="s">
        <v>5</v>
      </c>
      <c r="D5" s="9" t="s">
        <v>6</v>
      </c>
      <c r="E5" s="7" t="s">
        <v>7</v>
      </c>
      <c r="F5" s="7" t="s">
        <v>8</v>
      </c>
      <c r="J5">
        <f>14*8</f>
        <v>112</v>
      </c>
    </row>
    <row r="6" spans="1:16" ht="15.5">
      <c r="A6" s="10">
        <v>1</v>
      </c>
      <c r="B6" s="11" t="s">
        <v>58</v>
      </c>
      <c r="C6" s="12" t="s">
        <v>9</v>
      </c>
      <c r="D6" s="13">
        <v>10000</v>
      </c>
      <c r="E6" s="64">
        <v>10000</v>
      </c>
      <c r="F6" s="14">
        <f>E6*D6</f>
        <v>100000000</v>
      </c>
    </row>
    <row r="7" spans="1:16" ht="15.5">
      <c r="A7" s="10">
        <v>2</v>
      </c>
      <c r="B7" s="11" t="s">
        <v>77</v>
      </c>
      <c r="C7" s="12" t="s">
        <v>9</v>
      </c>
      <c r="D7" s="13">
        <v>20000</v>
      </c>
      <c r="E7" s="64">
        <v>7000</v>
      </c>
      <c r="F7" s="14">
        <f>E7*D7</f>
        <v>140000000</v>
      </c>
      <c r="J7">
        <f>J5*24</f>
        <v>2688</v>
      </c>
    </row>
    <row r="8" spans="1:16" ht="15.5">
      <c r="A8" s="193" t="s">
        <v>10</v>
      </c>
      <c r="B8" s="194"/>
      <c r="C8" s="194"/>
      <c r="D8" s="194"/>
      <c r="E8" s="195"/>
      <c r="F8" s="15">
        <f>SUM(F6:F7)</f>
        <v>240000000</v>
      </c>
    </row>
    <row r="9" spans="1:16" ht="15.5">
      <c r="A9" s="189" t="s">
        <v>11</v>
      </c>
      <c r="B9" s="190"/>
      <c r="C9" s="190"/>
      <c r="D9" s="190"/>
      <c r="E9" s="190"/>
      <c r="F9" s="191"/>
    </row>
    <row r="10" spans="1:16" ht="15.5">
      <c r="A10" s="7" t="s">
        <v>3</v>
      </c>
      <c r="B10" s="7" t="s">
        <v>4</v>
      </c>
      <c r="C10" s="7" t="s">
        <v>5</v>
      </c>
      <c r="D10" s="9" t="s">
        <v>6</v>
      </c>
      <c r="E10" s="7" t="s">
        <v>7</v>
      </c>
      <c r="F10" s="7" t="s">
        <v>8</v>
      </c>
    </row>
    <row r="11" spans="1:16" ht="15.5">
      <c r="A11" s="16">
        <v>1</v>
      </c>
      <c r="B11" s="12" t="s">
        <v>33</v>
      </c>
      <c r="C11" s="17" t="s">
        <v>12</v>
      </c>
      <c r="D11" s="13">
        <v>30000</v>
      </c>
      <c r="E11" s="64">
        <v>500</v>
      </c>
      <c r="F11" s="14">
        <f>E11*D11</f>
        <v>15000000</v>
      </c>
    </row>
    <row r="12" spans="1:16" ht="15.5">
      <c r="A12" s="16">
        <v>2</v>
      </c>
      <c r="B12" s="18" t="s">
        <v>13</v>
      </c>
      <c r="C12" s="19" t="s">
        <v>14</v>
      </c>
      <c r="D12" s="20">
        <v>1</v>
      </c>
      <c r="E12" s="69">
        <v>3500000</v>
      </c>
      <c r="F12" s="14">
        <f>E12*D12</f>
        <v>3500000</v>
      </c>
    </row>
    <row r="13" spans="1:16" ht="15.5">
      <c r="A13" s="16">
        <v>3</v>
      </c>
      <c r="B13" s="18" t="s">
        <v>65</v>
      </c>
      <c r="C13" s="19" t="s">
        <v>9</v>
      </c>
      <c r="D13" s="20">
        <v>1968</v>
      </c>
      <c r="E13" s="64">
        <v>5300</v>
      </c>
      <c r="F13" s="14">
        <f>D13*E13</f>
        <v>10430400</v>
      </c>
    </row>
    <row r="14" spans="1:16" ht="15.5">
      <c r="A14" s="16">
        <v>4</v>
      </c>
      <c r="B14" s="22" t="s">
        <v>79</v>
      </c>
      <c r="C14" s="19" t="s">
        <v>82</v>
      </c>
      <c r="D14" s="20">
        <v>12</v>
      </c>
      <c r="E14" s="21">
        <v>30000</v>
      </c>
      <c r="F14" s="14">
        <f>E14*D14</f>
        <v>360000</v>
      </c>
      <c r="G14" t="s">
        <v>78</v>
      </c>
    </row>
    <row r="15" spans="1:16" ht="15.5">
      <c r="A15" s="16">
        <v>5</v>
      </c>
      <c r="B15" s="22" t="s">
        <v>80</v>
      </c>
      <c r="C15" s="19" t="s">
        <v>82</v>
      </c>
      <c r="D15" s="20">
        <v>15</v>
      </c>
      <c r="E15" s="21">
        <v>700000</v>
      </c>
      <c r="F15" s="14">
        <f>E15*D15</f>
        <v>10500000</v>
      </c>
    </row>
    <row r="16" spans="1:16" ht="15.5">
      <c r="A16" s="16">
        <v>6</v>
      </c>
      <c r="B16" s="22" t="s">
        <v>81</v>
      </c>
      <c r="C16" s="19" t="s">
        <v>30</v>
      </c>
      <c r="D16" s="20">
        <v>12</v>
      </c>
      <c r="E16" s="21">
        <v>98000</v>
      </c>
      <c r="F16" s="14">
        <f t="shared" ref="F16" si="0">E16*D16</f>
        <v>1176000</v>
      </c>
      <c r="N16" t="s">
        <v>66</v>
      </c>
      <c r="O16" t="s">
        <v>67</v>
      </c>
      <c r="P16" t="s">
        <v>68</v>
      </c>
    </row>
    <row r="17" spans="1:14" ht="15.5">
      <c r="A17" s="196" t="s">
        <v>10</v>
      </c>
      <c r="B17" s="197"/>
      <c r="C17" s="197"/>
      <c r="D17" s="197"/>
      <c r="E17" s="198"/>
      <c r="F17" s="23">
        <f>SUM(F11:F16)</f>
        <v>40966400</v>
      </c>
      <c r="N17">
        <f>93/3</f>
        <v>31</v>
      </c>
    </row>
    <row r="18" spans="1:14" ht="15.5">
      <c r="A18" s="196" t="s">
        <v>54</v>
      </c>
      <c r="B18" s="197"/>
      <c r="C18" s="197"/>
      <c r="D18" s="197"/>
      <c r="E18" s="198"/>
      <c r="F18" s="23">
        <f>F17*11%</f>
        <v>4506304</v>
      </c>
    </row>
    <row r="19" spans="1:14" ht="15.5">
      <c r="A19" s="196" t="s">
        <v>32</v>
      </c>
      <c r="B19" s="197"/>
      <c r="C19" s="197"/>
      <c r="D19" s="197"/>
      <c r="E19" s="198"/>
      <c r="F19" s="23">
        <f>F18+F17</f>
        <v>45472704</v>
      </c>
    </row>
    <row r="20" spans="1:14" ht="15.5">
      <c r="A20" s="48"/>
      <c r="B20" s="49"/>
      <c r="C20" s="49"/>
      <c r="D20" s="49"/>
      <c r="E20" s="49"/>
      <c r="F20" s="66"/>
    </row>
    <row r="21" spans="1:14" ht="15.5">
      <c r="A21" s="189" t="s">
        <v>15</v>
      </c>
      <c r="B21" s="190"/>
      <c r="C21" s="190"/>
      <c r="D21" s="190"/>
      <c r="E21" s="190"/>
      <c r="F21" s="191"/>
    </row>
    <row r="22" spans="1:14" ht="15.5">
      <c r="A22" s="24" t="s">
        <v>3</v>
      </c>
      <c r="B22" s="24" t="s">
        <v>4</v>
      </c>
      <c r="C22" s="24" t="s">
        <v>59</v>
      </c>
      <c r="D22" s="24" t="s">
        <v>60</v>
      </c>
      <c r="E22" s="24" t="s">
        <v>16</v>
      </c>
      <c r="F22" s="7" t="s">
        <v>8</v>
      </c>
    </row>
    <row r="23" spans="1:14" ht="15.5">
      <c r="A23" s="16">
        <v>1</v>
      </c>
      <c r="B23" s="12" t="s">
        <v>55</v>
      </c>
      <c r="C23" s="25">
        <v>40</v>
      </c>
      <c r="D23" s="28">
        <v>5</v>
      </c>
      <c r="E23" s="26">
        <v>120000</v>
      </c>
      <c r="F23" s="27">
        <f>E23*D23*C23</f>
        <v>24000000</v>
      </c>
      <c r="H23" s="2"/>
      <c r="J23">
        <f>(D7/350)/C23</f>
        <v>1.4285714285714286</v>
      </c>
    </row>
    <row r="24" spans="1:14" ht="15.5">
      <c r="A24" s="16">
        <v>2</v>
      </c>
      <c r="B24" s="68" t="s">
        <v>61</v>
      </c>
      <c r="C24" s="25">
        <v>40</v>
      </c>
      <c r="D24" s="28">
        <v>9</v>
      </c>
      <c r="E24" s="26">
        <v>120000</v>
      </c>
      <c r="F24" s="27">
        <f>E24*D24*C24</f>
        <v>43200000</v>
      </c>
      <c r="J24" s="70">
        <f>(D7/175)/C24</f>
        <v>2.8571428571428572</v>
      </c>
    </row>
    <row r="25" spans="1:14" ht="15.5">
      <c r="A25" s="16">
        <v>3</v>
      </c>
      <c r="B25" s="68" t="s">
        <v>64</v>
      </c>
      <c r="C25" s="25">
        <v>5</v>
      </c>
      <c r="D25" s="28">
        <v>2</v>
      </c>
      <c r="E25" s="26">
        <v>120000</v>
      </c>
      <c r="F25" s="27">
        <f>E25*D25*C25</f>
        <v>1200000</v>
      </c>
      <c r="J25" s="70">
        <f>D24/C25</f>
        <v>1.8</v>
      </c>
    </row>
    <row r="26" spans="1:14" ht="15.5">
      <c r="A26" s="16">
        <v>4</v>
      </c>
      <c r="B26" s="18" t="s">
        <v>62</v>
      </c>
      <c r="C26" s="25">
        <v>30</v>
      </c>
      <c r="D26" s="39">
        <v>1</v>
      </c>
      <c r="E26" s="26">
        <v>120000</v>
      </c>
      <c r="F26" s="27">
        <f>E26*D26*C26</f>
        <v>3600000</v>
      </c>
    </row>
    <row r="27" spans="1:14" ht="15.5">
      <c r="A27" s="50" t="s">
        <v>10</v>
      </c>
      <c r="B27" s="51"/>
      <c r="C27" s="51"/>
      <c r="D27" s="51"/>
      <c r="E27" s="51"/>
      <c r="F27" s="67">
        <f>SUM(F23:F26)</f>
        <v>72000000</v>
      </c>
    </row>
    <row r="28" spans="1:14" ht="15.5" hidden="1" customHeight="1">
      <c r="A28" s="29"/>
      <c r="B28" s="29"/>
      <c r="C28" s="29"/>
      <c r="D28" s="29"/>
      <c r="E28" s="29"/>
      <c r="F28" s="29"/>
    </row>
    <row r="29" spans="1:14" ht="15.5" hidden="1" customHeight="1">
      <c r="A29" s="29"/>
      <c r="B29" s="29"/>
      <c r="C29" s="29"/>
      <c r="D29" s="29"/>
      <c r="E29" s="29"/>
      <c r="F29" s="29"/>
    </row>
    <row r="30" spans="1:14" ht="15.5" hidden="1" customHeight="1">
      <c r="A30" s="52" t="s">
        <v>23</v>
      </c>
      <c r="B30" s="52"/>
      <c r="C30" s="29"/>
      <c r="D30" s="29"/>
      <c r="E30" s="29"/>
      <c r="F30" s="29"/>
    </row>
    <row r="31" spans="1:14" ht="31.25" hidden="1" customHeight="1">
      <c r="A31" s="30" t="s">
        <v>3</v>
      </c>
      <c r="B31" s="30" t="s">
        <v>4</v>
      </c>
      <c r="C31" s="31" t="s">
        <v>5</v>
      </c>
      <c r="D31" s="32" t="s">
        <v>24</v>
      </c>
      <c r="E31" s="54"/>
      <c r="F31" s="29"/>
    </row>
    <row r="32" spans="1:14" ht="15.5" hidden="1" customHeight="1">
      <c r="A32" s="30" t="s">
        <v>17</v>
      </c>
      <c r="B32" s="33" t="s">
        <v>18</v>
      </c>
      <c r="C32" s="31"/>
      <c r="D32" s="24"/>
      <c r="E32" s="55"/>
      <c r="F32" s="29"/>
    </row>
    <row r="33" spans="1:6" ht="15.5" hidden="1" customHeight="1">
      <c r="A33" s="34">
        <v>1</v>
      </c>
      <c r="B33" s="35" t="s">
        <v>25</v>
      </c>
      <c r="C33" s="36" t="s">
        <v>19</v>
      </c>
      <c r="D33" s="37">
        <v>2</v>
      </c>
      <c r="E33" s="56"/>
      <c r="F33" s="29"/>
    </row>
    <row r="34" spans="1:6" ht="15.5" hidden="1" customHeight="1">
      <c r="A34" s="34">
        <v>2</v>
      </c>
      <c r="B34" s="38" t="s">
        <v>26</v>
      </c>
      <c r="C34" s="36" t="s">
        <v>19</v>
      </c>
      <c r="D34" s="39">
        <v>12</v>
      </c>
      <c r="E34" s="57"/>
      <c r="F34" s="29"/>
    </row>
    <row r="35" spans="1:6" ht="15.5" hidden="1" customHeight="1">
      <c r="A35" s="34">
        <v>3</v>
      </c>
      <c r="B35" s="40" t="s">
        <v>27</v>
      </c>
      <c r="C35" s="36" t="s">
        <v>19</v>
      </c>
      <c r="D35" s="39">
        <v>14</v>
      </c>
      <c r="E35" s="57"/>
      <c r="F35" s="29"/>
    </row>
    <row r="36" spans="1:6" ht="15.5" hidden="1" customHeight="1">
      <c r="A36" s="41" t="s">
        <v>20</v>
      </c>
      <c r="B36" s="42" t="s">
        <v>21</v>
      </c>
      <c r="C36" s="36"/>
      <c r="D36" s="25"/>
      <c r="E36" s="58"/>
      <c r="F36" s="29"/>
    </row>
    <row r="37" spans="1:6" ht="15.5" hidden="1" customHeight="1">
      <c r="A37" s="34">
        <v>1</v>
      </c>
      <c r="B37" s="43" t="s">
        <v>31</v>
      </c>
      <c r="C37" s="36" t="s">
        <v>19</v>
      </c>
      <c r="D37" s="39">
        <v>30</v>
      </c>
      <c r="E37" s="57"/>
      <c r="F37" s="29"/>
    </row>
    <row r="38" spans="1:6" ht="15.5" hidden="1" customHeight="1">
      <c r="A38" s="44" t="s">
        <v>22</v>
      </c>
      <c r="B38" s="45" t="s">
        <v>28</v>
      </c>
      <c r="C38" s="46" t="s">
        <v>19</v>
      </c>
      <c r="D38" s="47">
        <v>3</v>
      </c>
      <c r="E38" s="59"/>
      <c r="F38" s="29"/>
    </row>
    <row r="39" spans="1:6" ht="15.5" hidden="1" customHeight="1">
      <c r="A39" s="53" t="s">
        <v>29</v>
      </c>
      <c r="B39" s="53"/>
      <c r="C39" s="53"/>
      <c r="D39" s="53"/>
      <c r="E39" s="60"/>
      <c r="F39" s="29"/>
    </row>
    <row r="40" spans="1:6" ht="15.5" hidden="1" customHeight="1">
      <c r="A40" s="29"/>
      <c r="B40" s="29"/>
      <c r="C40" s="29"/>
      <c r="D40" s="29"/>
      <c r="E40" s="29"/>
      <c r="F40" s="29"/>
    </row>
    <row r="41" spans="1:6" ht="15.5" hidden="1" customHeight="1">
      <c r="A41" s="29"/>
      <c r="B41" s="29"/>
      <c r="C41" s="29"/>
      <c r="D41" s="29"/>
      <c r="E41" s="29"/>
      <c r="F41" s="29"/>
    </row>
    <row r="42" spans="1:6" ht="15.5" hidden="1" customHeight="1">
      <c r="A42" s="29"/>
      <c r="B42" s="29"/>
      <c r="C42" s="29"/>
      <c r="D42" s="29"/>
      <c r="E42" s="29"/>
      <c r="F42" s="29"/>
    </row>
    <row r="43" spans="1:6" ht="15.5" hidden="1" customHeight="1">
      <c r="A43" s="29"/>
      <c r="B43" s="29"/>
      <c r="C43" s="29"/>
      <c r="D43" s="29"/>
      <c r="E43" s="29"/>
      <c r="F43" s="29"/>
    </row>
    <row r="44" spans="1:6" ht="15.5" hidden="1" customHeight="1">
      <c r="A44" s="29"/>
      <c r="B44" s="29"/>
      <c r="C44" s="29"/>
      <c r="D44" s="29"/>
      <c r="E44" s="29"/>
      <c r="F44" s="29"/>
    </row>
    <row r="45" spans="1:6" ht="15.5" hidden="1" customHeight="1">
      <c r="A45" s="29"/>
      <c r="B45" s="29"/>
      <c r="C45" s="29"/>
      <c r="D45" s="29"/>
      <c r="E45" s="29"/>
      <c r="F45" s="29"/>
    </row>
    <row r="46" spans="1:6" ht="15.5" hidden="1" customHeight="1">
      <c r="A46" s="29"/>
      <c r="B46" s="29"/>
      <c r="C46" s="29"/>
      <c r="D46" s="29"/>
      <c r="E46" s="29"/>
      <c r="F46" s="29"/>
    </row>
    <row r="47" spans="1:6" ht="15.5" hidden="1" customHeight="1">
      <c r="A47" s="29"/>
      <c r="B47" s="29"/>
      <c r="C47" s="29"/>
      <c r="D47" s="29"/>
      <c r="E47" s="29"/>
      <c r="F47" s="29"/>
    </row>
    <row r="48" spans="1:6" ht="15.5" hidden="1" customHeight="1">
      <c r="A48" s="29"/>
      <c r="B48" s="29"/>
      <c r="C48" s="29"/>
      <c r="D48" s="29"/>
      <c r="E48" s="29"/>
      <c r="F48" s="29"/>
    </row>
    <row r="49" spans="1:6" ht="15.5" hidden="1" customHeight="1">
      <c r="A49" s="29"/>
      <c r="B49" s="29"/>
      <c r="C49" s="29"/>
      <c r="D49" s="29"/>
      <c r="E49" s="29"/>
      <c r="F49" s="29"/>
    </row>
    <row r="50" spans="1:6" ht="15.5" hidden="1" customHeight="1">
      <c r="A50" s="29"/>
      <c r="B50" s="29"/>
      <c r="C50" s="29"/>
      <c r="D50" s="29"/>
      <c r="E50" s="29"/>
      <c r="F50" s="29"/>
    </row>
    <row r="51" spans="1:6" ht="15.5" hidden="1" customHeight="1">
      <c r="A51" s="29"/>
      <c r="B51" s="29"/>
      <c r="C51" s="29"/>
      <c r="D51" s="29"/>
      <c r="E51" s="29"/>
      <c r="F51" s="29"/>
    </row>
    <row r="52" spans="1:6" ht="15.5" hidden="1" customHeight="1">
      <c r="A52" s="29"/>
      <c r="B52" s="29"/>
      <c r="C52" s="29"/>
      <c r="D52" s="29"/>
      <c r="E52" s="29"/>
      <c r="F52" s="29"/>
    </row>
    <row r="53" spans="1:6" ht="15.5" hidden="1" customHeight="1">
      <c r="A53" s="29"/>
      <c r="B53" s="29"/>
      <c r="C53" s="29"/>
      <c r="D53" s="29"/>
      <c r="E53" s="29"/>
      <c r="F53" s="29"/>
    </row>
    <row r="54" spans="1:6" ht="15.5" hidden="1" customHeight="1">
      <c r="A54" s="29"/>
      <c r="B54" s="29"/>
      <c r="C54" s="29"/>
      <c r="D54" s="29"/>
      <c r="E54" s="29"/>
      <c r="F54" s="29"/>
    </row>
    <row r="55" spans="1:6" ht="15.5" hidden="1" customHeight="1">
      <c r="A55" s="29"/>
      <c r="B55" s="29"/>
      <c r="C55" s="29"/>
      <c r="D55" s="29"/>
      <c r="E55" s="29"/>
      <c r="F55" s="29"/>
    </row>
    <row r="56" spans="1:6" ht="15.5" hidden="1" customHeight="1">
      <c r="A56" s="29"/>
      <c r="B56" s="29"/>
      <c r="C56" s="29"/>
      <c r="D56" s="29"/>
      <c r="E56" s="29"/>
      <c r="F56" s="29"/>
    </row>
    <row r="57" spans="1:6" ht="15.5" hidden="1" customHeight="1">
      <c r="A57" s="29"/>
      <c r="B57" s="29"/>
      <c r="C57" s="29"/>
      <c r="D57" s="29"/>
      <c r="E57" s="29"/>
      <c r="F57" s="29"/>
    </row>
    <row r="58" spans="1:6" ht="15.5" hidden="1" customHeight="1">
      <c r="A58" s="29"/>
      <c r="B58" s="29"/>
      <c r="C58" s="29"/>
      <c r="D58" s="29"/>
      <c r="E58" s="29"/>
      <c r="F58" s="29"/>
    </row>
    <row r="59" spans="1:6" ht="15.5" hidden="1" customHeight="1">
      <c r="A59" s="29"/>
      <c r="B59" s="29"/>
      <c r="C59" s="29"/>
      <c r="D59" s="29"/>
      <c r="E59" s="29"/>
      <c r="F59" s="29"/>
    </row>
    <row r="60" spans="1:6" ht="15.5" hidden="1" customHeight="1">
      <c r="A60" s="29"/>
      <c r="B60" s="29"/>
      <c r="C60" s="29"/>
      <c r="D60" s="29"/>
      <c r="E60" s="29"/>
      <c r="F60" s="29"/>
    </row>
    <row r="61" spans="1:6" ht="15.5" hidden="1" customHeight="1">
      <c r="A61" s="29"/>
      <c r="B61" s="29"/>
      <c r="C61" s="29"/>
      <c r="D61" s="29"/>
      <c r="E61" s="29"/>
      <c r="F61" s="29"/>
    </row>
    <row r="62" spans="1:6" ht="15.5" hidden="1" customHeight="1">
      <c r="A62" s="29"/>
      <c r="B62" s="29"/>
      <c r="C62" s="29"/>
      <c r="D62" s="29"/>
      <c r="E62" s="29"/>
      <c r="F62" s="29"/>
    </row>
    <row r="63" spans="1:6" ht="15.5" hidden="1" customHeight="1">
      <c r="A63" s="29"/>
      <c r="B63" s="29"/>
      <c r="C63" s="29"/>
      <c r="D63" s="29"/>
      <c r="E63" s="29"/>
      <c r="F63" s="29"/>
    </row>
    <row r="64" spans="1:6" ht="15.5" hidden="1" customHeight="1">
      <c r="A64" s="29"/>
      <c r="B64" s="29"/>
      <c r="C64" s="29"/>
      <c r="D64" s="29"/>
      <c r="E64" s="29"/>
      <c r="F64" s="29"/>
    </row>
    <row r="65" spans="1:6" ht="15.5" hidden="1" customHeight="1">
      <c r="A65" s="29"/>
      <c r="B65" s="29"/>
      <c r="C65" s="29"/>
      <c r="D65" s="29"/>
      <c r="E65" s="29"/>
      <c r="F65" s="29"/>
    </row>
    <row r="66" spans="1:6" ht="15.5" hidden="1" customHeight="1">
      <c r="A66" s="29"/>
      <c r="B66" s="29"/>
      <c r="C66" s="29"/>
      <c r="D66" s="29"/>
      <c r="E66" s="29"/>
      <c r="F66" s="29"/>
    </row>
    <row r="67" spans="1:6" ht="15.5" hidden="1" customHeight="1">
      <c r="A67" s="29"/>
      <c r="B67" s="29"/>
      <c r="C67" s="29"/>
      <c r="D67" s="29"/>
      <c r="E67" s="29"/>
      <c r="F67" s="29"/>
    </row>
    <row r="68" spans="1:6" ht="15.5" hidden="1" customHeight="1">
      <c r="A68" s="29"/>
      <c r="B68" s="29"/>
      <c r="C68" s="29"/>
      <c r="D68" s="29"/>
      <c r="E68" s="29"/>
      <c r="F68" s="29"/>
    </row>
    <row r="69" spans="1:6" ht="15.5" hidden="1" customHeight="1">
      <c r="A69" s="29"/>
      <c r="B69" s="29"/>
      <c r="C69" s="29"/>
      <c r="D69" s="29"/>
      <c r="E69" s="29"/>
      <c r="F69" s="29"/>
    </row>
    <row r="70" spans="1:6" ht="15.5" hidden="1" customHeight="1">
      <c r="A70" s="29"/>
      <c r="B70" s="29"/>
      <c r="C70" s="29"/>
      <c r="D70" s="29"/>
      <c r="E70" s="29"/>
      <c r="F70" s="29"/>
    </row>
    <row r="71" spans="1:6" ht="15.5" hidden="1" customHeight="1">
      <c r="A71" s="29"/>
      <c r="B71" s="29"/>
      <c r="C71" s="29"/>
      <c r="D71" s="29"/>
      <c r="E71" s="29"/>
      <c r="F71" s="29"/>
    </row>
    <row r="72" spans="1:6" ht="15.5" hidden="1" customHeight="1">
      <c r="A72" s="29"/>
      <c r="B72" s="29"/>
      <c r="C72" s="29"/>
      <c r="D72" s="29"/>
      <c r="E72" s="29"/>
      <c r="F72" s="29"/>
    </row>
    <row r="73" spans="1:6" ht="15.5" hidden="1" customHeight="1">
      <c r="A73" s="29"/>
      <c r="B73" s="29"/>
      <c r="C73" s="29"/>
      <c r="D73" s="29"/>
      <c r="E73" s="29"/>
      <c r="F73" s="29"/>
    </row>
    <row r="74" spans="1:6" ht="15.5" hidden="1" customHeight="1">
      <c r="A74" s="29"/>
      <c r="B74" s="29"/>
      <c r="C74" s="29"/>
      <c r="D74" s="29"/>
      <c r="E74" s="29"/>
      <c r="F74" s="29"/>
    </row>
    <row r="75" spans="1:6" ht="15.5" hidden="1" customHeight="1">
      <c r="A75" s="29"/>
      <c r="B75" s="29"/>
      <c r="C75" s="29"/>
      <c r="D75" s="29"/>
      <c r="E75" s="29"/>
      <c r="F75" s="29"/>
    </row>
    <row r="76" spans="1:6" ht="15.5" hidden="1" customHeight="1">
      <c r="A76" s="29"/>
      <c r="B76" s="29"/>
      <c r="C76" s="29"/>
      <c r="D76" s="29"/>
      <c r="E76" s="29"/>
      <c r="F76" s="29"/>
    </row>
    <row r="77" spans="1:6" ht="15.5" hidden="1" customHeight="1">
      <c r="A77" s="29"/>
      <c r="B77" s="29"/>
      <c r="C77" s="29"/>
      <c r="D77" s="29"/>
      <c r="E77" s="29"/>
      <c r="F77" s="29"/>
    </row>
    <row r="78" spans="1:6" ht="15.5" hidden="1" customHeight="1">
      <c r="A78" s="29"/>
      <c r="B78" s="29"/>
      <c r="C78" s="29"/>
      <c r="D78" s="29"/>
      <c r="E78" s="29"/>
      <c r="F78" s="29"/>
    </row>
    <row r="79" spans="1:6" ht="15.5" hidden="1" customHeight="1">
      <c r="A79" s="29"/>
      <c r="B79" s="29"/>
      <c r="C79" s="29"/>
      <c r="D79" s="29"/>
      <c r="E79" s="29"/>
      <c r="F79" s="29"/>
    </row>
    <row r="80" spans="1:6" ht="15.5" hidden="1" customHeight="1">
      <c r="A80" s="29"/>
      <c r="B80" s="29"/>
      <c r="C80" s="29"/>
      <c r="D80" s="29"/>
      <c r="E80" s="29"/>
      <c r="F80" s="29"/>
    </row>
    <row r="81" spans="1:6" ht="15.5" hidden="1" customHeight="1">
      <c r="A81" s="29"/>
      <c r="B81" s="29"/>
      <c r="C81" s="29"/>
      <c r="D81" s="29"/>
      <c r="E81" s="29"/>
      <c r="F81" s="29"/>
    </row>
    <row r="82" spans="1:6" ht="15.5" hidden="1" customHeight="1">
      <c r="A82" s="29"/>
      <c r="B82" s="29"/>
      <c r="C82" s="29"/>
      <c r="D82" s="29"/>
      <c r="E82" s="29"/>
      <c r="F82" s="29"/>
    </row>
    <row r="83" spans="1:6" ht="15.5" hidden="1" customHeight="1">
      <c r="A83" s="29"/>
      <c r="B83" s="29"/>
      <c r="C83" s="29"/>
      <c r="D83" s="29"/>
      <c r="E83" s="29"/>
      <c r="F83" s="29"/>
    </row>
    <row r="84" spans="1:6" ht="15.5" hidden="1" customHeight="1">
      <c r="A84" s="29"/>
      <c r="B84" s="29"/>
      <c r="C84" s="29"/>
      <c r="D84" s="29"/>
      <c r="E84" s="29"/>
      <c r="F84" s="29"/>
    </row>
    <row r="85" spans="1:6" ht="15.5" hidden="1" customHeight="1">
      <c r="A85" s="29"/>
      <c r="B85" s="29"/>
      <c r="C85" s="29"/>
      <c r="D85" s="29"/>
      <c r="E85" s="29"/>
      <c r="F85" s="29"/>
    </row>
    <row r="86" spans="1:6" ht="15.5" hidden="1" customHeight="1">
      <c r="A86" s="29"/>
      <c r="B86" s="29"/>
      <c r="C86" s="29"/>
      <c r="D86" s="29"/>
      <c r="E86" s="29"/>
      <c r="F86" s="29"/>
    </row>
    <row r="87" spans="1:6" ht="15.5" hidden="1" customHeight="1">
      <c r="A87" s="29"/>
      <c r="B87" s="29"/>
      <c r="C87" s="29"/>
      <c r="D87" s="29"/>
      <c r="E87" s="29"/>
      <c r="F87" s="29"/>
    </row>
    <row r="88" spans="1:6" ht="15.5" hidden="1" customHeight="1">
      <c r="A88" s="29"/>
      <c r="B88" s="29"/>
      <c r="C88" s="29"/>
      <c r="D88" s="29"/>
      <c r="E88" s="29"/>
      <c r="F88" s="29"/>
    </row>
    <row r="89" spans="1:6" ht="15.5" hidden="1" customHeight="1">
      <c r="A89" s="29"/>
      <c r="B89" s="29"/>
      <c r="C89" s="29"/>
      <c r="D89" s="29"/>
      <c r="E89" s="29"/>
      <c r="F89" s="29"/>
    </row>
    <row r="90" spans="1:6" ht="15.5" hidden="1" customHeight="1">
      <c r="A90" s="29"/>
      <c r="B90" s="29"/>
      <c r="C90" s="29"/>
      <c r="D90" s="29"/>
      <c r="E90" s="29"/>
      <c r="F90" s="29"/>
    </row>
    <row r="91" spans="1:6" ht="15.5" hidden="1" customHeight="1">
      <c r="A91" s="29"/>
      <c r="B91" s="29"/>
      <c r="C91" s="29"/>
      <c r="D91" s="29"/>
      <c r="E91" s="29"/>
      <c r="F91" s="29"/>
    </row>
    <row r="92" spans="1:6" ht="15.5" hidden="1" customHeight="1">
      <c r="A92" s="29"/>
      <c r="B92" s="29"/>
      <c r="C92" s="29"/>
      <c r="D92" s="29"/>
      <c r="E92" s="29"/>
      <c r="F92" s="29"/>
    </row>
    <row r="93" spans="1:6" ht="15.5" hidden="1" customHeight="1">
      <c r="A93" s="29"/>
      <c r="B93" s="29"/>
      <c r="C93" s="29"/>
      <c r="D93" s="29"/>
      <c r="E93" s="29"/>
      <c r="F93" s="29"/>
    </row>
    <row r="94" spans="1:6" ht="15.5" hidden="1" customHeight="1">
      <c r="A94" s="29"/>
      <c r="B94" s="29"/>
      <c r="C94" s="29"/>
      <c r="D94" s="29"/>
      <c r="E94" s="29"/>
      <c r="F94" s="29"/>
    </row>
    <row r="95" spans="1:6" ht="15.5" hidden="1" customHeight="1">
      <c r="A95" s="29"/>
      <c r="B95" s="29"/>
      <c r="C95" s="29"/>
      <c r="D95" s="29"/>
      <c r="E95" s="29"/>
      <c r="F95" s="29"/>
    </row>
    <row r="96" spans="1:6" ht="15.5" hidden="1" customHeight="1">
      <c r="A96" s="29"/>
      <c r="B96" s="29"/>
      <c r="C96" s="29"/>
      <c r="D96" s="29"/>
      <c r="E96" s="29"/>
      <c r="F96" s="29"/>
    </row>
    <row r="97" spans="1:6" ht="15.5" hidden="1" customHeight="1">
      <c r="A97" s="29"/>
      <c r="B97" s="29"/>
      <c r="C97" s="29"/>
      <c r="D97" s="29"/>
      <c r="E97" s="29"/>
      <c r="F97" s="29"/>
    </row>
    <row r="98" spans="1:6" ht="15.5" hidden="1" customHeight="1">
      <c r="A98" s="29"/>
      <c r="B98" s="29"/>
      <c r="C98" s="29"/>
      <c r="D98" s="29"/>
      <c r="E98" s="29"/>
      <c r="F98" s="29"/>
    </row>
    <row r="99" spans="1:6" ht="15.5" hidden="1" customHeight="1">
      <c r="A99" s="29"/>
      <c r="B99" s="29"/>
      <c r="C99" s="29"/>
      <c r="D99" s="29"/>
      <c r="E99" s="29"/>
      <c r="F99" s="29"/>
    </row>
    <row r="100" spans="1:6" ht="15.5" hidden="1" customHeight="1">
      <c r="A100" s="29"/>
      <c r="B100" s="29"/>
      <c r="C100" s="29"/>
      <c r="D100" s="29"/>
      <c r="E100" s="29"/>
      <c r="F100" s="29"/>
    </row>
    <row r="101" spans="1:6" ht="15.5" hidden="1" customHeight="1">
      <c r="A101" s="29"/>
      <c r="B101" s="29"/>
      <c r="C101" s="29"/>
      <c r="D101" s="29"/>
      <c r="E101" s="29"/>
      <c r="F101" s="29"/>
    </row>
    <row r="102" spans="1:6" ht="15.5" hidden="1" customHeight="1">
      <c r="A102" s="29"/>
      <c r="B102" s="29"/>
      <c r="C102" s="29"/>
      <c r="D102" s="29"/>
      <c r="E102" s="29"/>
      <c r="F102" s="29"/>
    </row>
    <row r="103" spans="1:6" ht="15.5" hidden="1" customHeight="1">
      <c r="A103" s="29"/>
      <c r="B103" s="29"/>
      <c r="C103" s="29"/>
      <c r="D103" s="29"/>
      <c r="E103" s="29"/>
      <c r="F103" s="29"/>
    </row>
    <row r="104" spans="1:6" ht="15.5" hidden="1" customHeight="1">
      <c r="A104" s="29"/>
      <c r="B104" s="29"/>
      <c r="C104" s="29"/>
      <c r="D104" s="29"/>
      <c r="E104" s="29"/>
      <c r="F104" s="29"/>
    </row>
    <row r="105" spans="1:6" ht="15.5" hidden="1" customHeight="1">
      <c r="A105" s="29"/>
      <c r="B105" s="29"/>
      <c r="C105" s="29"/>
      <c r="D105" s="29"/>
      <c r="E105" s="29"/>
      <c r="F105" s="29"/>
    </row>
    <row r="106" spans="1:6" ht="15.5" hidden="1" customHeight="1">
      <c r="A106" s="29"/>
      <c r="B106" s="29"/>
      <c r="C106" s="29"/>
      <c r="D106" s="29"/>
      <c r="E106" s="29"/>
      <c r="F106" s="29"/>
    </row>
    <row r="107" spans="1:6" ht="15.5" hidden="1" customHeight="1">
      <c r="A107" s="29"/>
      <c r="B107" s="29"/>
      <c r="C107" s="29"/>
      <c r="D107" s="29"/>
      <c r="E107" s="29"/>
      <c r="F107" s="29"/>
    </row>
    <row r="108" spans="1:6" ht="15.5" hidden="1" customHeight="1">
      <c r="A108" s="29"/>
      <c r="B108" s="29"/>
      <c r="C108" s="29"/>
      <c r="D108" s="29"/>
      <c r="E108" s="29"/>
      <c r="F108" s="29"/>
    </row>
    <row r="109" spans="1:6" ht="15.5" hidden="1" customHeight="1">
      <c r="A109" s="29"/>
      <c r="B109" s="29"/>
      <c r="C109" s="29"/>
      <c r="D109" s="29"/>
      <c r="E109" s="29"/>
      <c r="F109" s="29"/>
    </row>
    <row r="110" spans="1:6" ht="15.5" hidden="1" customHeight="1">
      <c r="A110" s="29"/>
      <c r="B110" s="29"/>
      <c r="C110" s="29"/>
      <c r="D110" s="29"/>
      <c r="E110" s="29"/>
      <c r="F110" s="29"/>
    </row>
    <row r="111" spans="1:6" ht="15.5" hidden="1" customHeight="1">
      <c r="A111" s="29"/>
      <c r="B111" s="29"/>
      <c r="C111" s="29"/>
      <c r="D111" s="29"/>
      <c r="E111" s="29"/>
      <c r="F111" s="29"/>
    </row>
    <row r="112" spans="1:6" ht="15.5" hidden="1" customHeight="1">
      <c r="A112" s="29"/>
      <c r="B112" s="29"/>
      <c r="C112" s="29"/>
      <c r="D112" s="29"/>
      <c r="E112" s="29"/>
      <c r="F112" s="29"/>
    </row>
    <row r="113" spans="1:6" ht="15.5" hidden="1" customHeight="1">
      <c r="A113" s="29"/>
      <c r="B113" s="29"/>
      <c r="C113" s="29"/>
      <c r="D113" s="29"/>
      <c r="E113" s="29"/>
      <c r="F113" s="29"/>
    </row>
    <row r="114" spans="1:6" ht="15.5" hidden="1" customHeight="1">
      <c r="A114" s="29"/>
      <c r="B114" s="29"/>
      <c r="C114" s="29"/>
      <c r="D114" s="29"/>
      <c r="E114" s="29"/>
      <c r="F114" s="29"/>
    </row>
    <row r="115" spans="1:6" ht="15.5" hidden="1" customHeight="1">
      <c r="A115" s="29"/>
      <c r="B115" s="29"/>
      <c r="C115" s="29"/>
      <c r="D115" s="29"/>
      <c r="E115" s="29"/>
      <c r="F115" s="29"/>
    </row>
    <row r="116" spans="1:6" ht="15.5" hidden="1" customHeight="1">
      <c r="A116" s="29"/>
      <c r="B116" s="29"/>
      <c r="C116" s="29"/>
      <c r="D116" s="29"/>
      <c r="E116" s="29"/>
      <c r="F116" s="29"/>
    </row>
    <row r="117" spans="1:6" ht="15.5" hidden="1" customHeight="1">
      <c r="A117" s="29"/>
      <c r="B117" s="29"/>
      <c r="C117" s="29"/>
      <c r="D117" s="29"/>
      <c r="E117" s="29"/>
      <c r="F117" s="29"/>
    </row>
    <row r="118" spans="1:6" ht="15.5" hidden="1" customHeight="1">
      <c r="A118" s="29"/>
      <c r="B118" s="29"/>
      <c r="C118" s="29"/>
      <c r="D118" s="29"/>
      <c r="E118" s="29"/>
      <c r="F118" s="29"/>
    </row>
    <row r="119" spans="1:6" ht="15.5" hidden="1" customHeight="1">
      <c r="A119" s="29"/>
      <c r="B119" s="29"/>
      <c r="C119" s="29"/>
      <c r="D119" s="29"/>
      <c r="E119" s="29"/>
      <c r="F119" s="29"/>
    </row>
    <row r="120" spans="1:6" ht="15.5" hidden="1" customHeight="1">
      <c r="A120" s="29"/>
      <c r="B120" s="29"/>
      <c r="C120" s="29"/>
      <c r="D120" s="29"/>
      <c r="E120" s="29"/>
      <c r="F120" s="29"/>
    </row>
    <row r="121" spans="1:6" ht="15.5" hidden="1" customHeight="1">
      <c r="A121" s="29"/>
      <c r="B121" s="29"/>
      <c r="C121" s="29"/>
      <c r="D121" s="29"/>
      <c r="E121" s="29"/>
      <c r="F121" s="29"/>
    </row>
    <row r="122" spans="1:6" ht="15.5" hidden="1" customHeight="1">
      <c r="A122" s="29"/>
      <c r="B122" s="29"/>
      <c r="C122" s="29"/>
      <c r="D122" s="29"/>
      <c r="E122" s="29"/>
      <c r="F122" s="29"/>
    </row>
    <row r="123" spans="1:6" ht="15.5" hidden="1" customHeight="1">
      <c r="A123" s="29"/>
      <c r="B123" s="29"/>
      <c r="C123" s="29"/>
      <c r="D123" s="29"/>
      <c r="E123" s="29"/>
      <c r="F123" s="29"/>
    </row>
    <row r="124" spans="1:6" ht="15.5" hidden="1" customHeight="1">
      <c r="A124" s="29"/>
      <c r="B124" s="29"/>
      <c r="C124" s="29"/>
      <c r="D124" s="29"/>
      <c r="E124" s="29"/>
      <c r="F124" s="29"/>
    </row>
    <row r="125" spans="1:6" ht="15.5" hidden="1" customHeight="1">
      <c r="A125" s="29"/>
      <c r="B125" s="29"/>
      <c r="C125" s="29"/>
      <c r="D125" s="29"/>
      <c r="E125" s="29"/>
      <c r="F125" s="29"/>
    </row>
    <row r="126" spans="1:6" ht="15.5" hidden="1" customHeight="1">
      <c r="A126" s="29"/>
      <c r="B126" s="29"/>
      <c r="C126" s="29"/>
      <c r="D126" s="29"/>
      <c r="E126" s="29"/>
      <c r="F126" s="29"/>
    </row>
    <row r="127" spans="1:6" ht="15.5" hidden="1" customHeight="1">
      <c r="A127" s="29"/>
      <c r="B127" s="29"/>
      <c r="C127" s="29"/>
      <c r="D127" s="29"/>
      <c r="E127" s="29"/>
      <c r="F127" s="29"/>
    </row>
    <row r="128" spans="1:6" ht="15.5" hidden="1" customHeight="1">
      <c r="A128" s="29"/>
      <c r="B128" s="29"/>
      <c r="C128" s="29"/>
      <c r="D128" s="29"/>
      <c r="E128" s="29"/>
      <c r="F128" s="29"/>
    </row>
    <row r="129" spans="1:6" ht="15.5" hidden="1" customHeight="1">
      <c r="A129" s="29"/>
      <c r="B129" s="29"/>
      <c r="C129" s="29"/>
      <c r="D129" s="29"/>
      <c r="E129" s="29"/>
      <c r="F129" s="29"/>
    </row>
    <row r="130" spans="1:6" ht="15.5" hidden="1" customHeight="1">
      <c r="A130" s="29"/>
      <c r="B130" s="29"/>
      <c r="C130" s="29"/>
      <c r="D130" s="29"/>
      <c r="E130" s="29"/>
      <c r="F130" s="29"/>
    </row>
    <row r="131" spans="1:6" ht="15.5" hidden="1" customHeight="1">
      <c r="A131" s="29"/>
      <c r="B131" s="29"/>
      <c r="C131" s="29"/>
      <c r="D131" s="29"/>
      <c r="E131" s="29"/>
      <c r="F131" s="29"/>
    </row>
    <row r="132" spans="1:6" ht="15.5" hidden="1" customHeight="1">
      <c r="A132" s="29"/>
      <c r="B132" s="29"/>
      <c r="C132" s="29"/>
      <c r="D132" s="29"/>
      <c r="E132" s="29"/>
      <c r="F132" s="29"/>
    </row>
    <row r="133" spans="1:6" ht="15.5" hidden="1" customHeight="1">
      <c r="A133" s="29"/>
      <c r="B133" s="29"/>
      <c r="C133" s="29"/>
      <c r="D133" s="29"/>
      <c r="E133" s="29"/>
      <c r="F133" s="29"/>
    </row>
    <row r="134" spans="1:6" ht="15.5" hidden="1" customHeight="1">
      <c r="A134" s="29"/>
      <c r="B134" s="29"/>
      <c r="C134" s="29"/>
      <c r="D134" s="29"/>
      <c r="E134" s="29"/>
      <c r="F134" s="29"/>
    </row>
    <row r="135" spans="1:6" ht="15.5" hidden="1" customHeight="1">
      <c r="A135" s="29"/>
      <c r="B135" s="29"/>
      <c r="C135" s="29"/>
      <c r="D135" s="29"/>
      <c r="E135" s="29"/>
      <c r="F135" s="29"/>
    </row>
    <row r="136" spans="1:6" ht="15.5" hidden="1" customHeight="1">
      <c r="A136" s="29"/>
      <c r="B136" s="29"/>
      <c r="C136" s="29"/>
      <c r="D136" s="29"/>
      <c r="E136" s="29"/>
      <c r="F136" s="29"/>
    </row>
    <row r="137" spans="1:6" ht="15.5" hidden="1" customHeight="1">
      <c r="A137" s="29"/>
      <c r="B137" s="29"/>
      <c r="C137" s="29"/>
      <c r="D137" s="29"/>
      <c r="E137" s="29"/>
      <c r="F137" s="29"/>
    </row>
    <row r="138" spans="1:6" ht="15.5" hidden="1" customHeight="1">
      <c r="A138" s="29"/>
      <c r="B138" s="29"/>
      <c r="C138" s="29"/>
      <c r="D138" s="29"/>
      <c r="E138" s="29"/>
      <c r="F138" s="29"/>
    </row>
    <row r="139" spans="1:6" ht="15.5" hidden="1" customHeight="1">
      <c r="A139" s="29"/>
      <c r="B139" s="29"/>
      <c r="C139" s="29"/>
      <c r="D139" s="29"/>
      <c r="E139" s="29"/>
      <c r="F139" s="29"/>
    </row>
    <row r="140" spans="1:6" ht="15.5" hidden="1" customHeight="1">
      <c r="A140" s="29"/>
      <c r="B140" s="29"/>
      <c r="C140" s="29"/>
      <c r="D140" s="29"/>
      <c r="E140" s="29"/>
      <c r="F140" s="29"/>
    </row>
    <row r="141" spans="1:6" ht="15.5" hidden="1" customHeight="1">
      <c r="A141" s="29"/>
      <c r="B141" s="29"/>
      <c r="C141" s="29"/>
      <c r="D141" s="29"/>
      <c r="E141" s="29"/>
      <c r="F141" s="29"/>
    </row>
    <row r="142" spans="1:6" ht="15.5" hidden="1" customHeight="1">
      <c r="A142" s="29"/>
      <c r="B142" s="29"/>
      <c r="C142" s="29"/>
      <c r="D142" s="29"/>
      <c r="E142" s="29"/>
      <c r="F142" s="29"/>
    </row>
    <row r="143" spans="1:6" ht="15.5" hidden="1" customHeight="1">
      <c r="A143" s="29"/>
      <c r="B143" s="29"/>
      <c r="C143" s="29"/>
      <c r="D143" s="29"/>
      <c r="E143" s="29"/>
      <c r="F143" s="29"/>
    </row>
    <row r="144" spans="1:6" ht="15.5" hidden="1" customHeight="1">
      <c r="A144" s="29"/>
      <c r="B144" s="29"/>
      <c r="C144" s="29"/>
      <c r="D144" s="29"/>
      <c r="E144" s="29"/>
      <c r="F144" s="29"/>
    </row>
    <row r="145" spans="1:6" ht="15.5" hidden="1" customHeight="1">
      <c r="A145" s="29"/>
      <c r="B145" s="29"/>
      <c r="C145" s="29"/>
      <c r="D145" s="29"/>
      <c r="E145" s="29"/>
      <c r="F145" s="29"/>
    </row>
    <row r="146" spans="1:6" ht="15.5" hidden="1" customHeight="1">
      <c r="A146" s="29"/>
      <c r="B146" s="29"/>
      <c r="C146" s="29"/>
      <c r="D146" s="29"/>
      <c r="E146" s="29"/>
      <c r="F146" s="29"/>
    </row>
    <row r="147" spans="1:6" ht="15.5" hidden="1" customHeight="1">
      <c r="A147" s="29"/>
      <c r="B147" s="29"/>
      <c r="C147" s="29"/>
      <c r="D147" s="29"/>
      <c r="E147" s="29"/>
      <c r="F147" s="29"/>
    </row>
    <row r="148" spans="1:6" ht="15.5" hidden="1" customHeight="1">
      <c r="A148" s="29"/>
      <c r="B148" s="29"/>
      <c r="C148" s="29"/>
      <c r="D148" s="29"/>
      <c r="E148" s="29"/>
      <c r="F148" s="29"/>
    </row>
    <row r="149" spans="1:6" ht="15.5" hidden="1" customHeight="1">
      <c r="A149" s="29"/>
      <c r="B149" s="29"/>
      <c r="C149" s="29"/>
      <c r="D149" s="29"/>
      <c r="E149" s="29"/>
      <c r="F149" s="29"/>
    </row>
    <row r="150" spans="1:6" ht="15.5" hidden="1" customHeight="1">
      <c r="A150" s="29"/>
      <c r="B150" s="29"/>
      <c r="C150" s="29"/>
      <c r="D150" s="29"/>
      <c r="E150" s="29"/>
      <c r="F150" s="29"/>
    </row>
    <row r="151" spans="1:6" ht="15.5" hidden="1" customHeight="1">
      <c r="A151" s="29"/>
      <c r="B151" s="29"/>
      <c r="C151" s="29"/>
      <c r="D151" s="29"/>
      <c r="E151" s="29"/>
      <c r="F151" s="29"/>
    </row>
    <row r="152" spans="1:6" ht="15.5" hidden="1" customHeight="1">
      <c r="A152" s="29"/>
      <c r="B152" s="29"/>
      <c r="C152" s="29"/>
      <c r="D152" s="29"/>
      <c r="E152" s="29"/>
      <c r="F152" s="29"/>
    </row>
    <row r="153" spans="1:6" ht="15.5" hidden="1" customHeight="1">
      <c r="A153" s="29"/>
      <c r="B153" s="29"/>
      <c r="C153" s="29"/>
      <c r="D153" s="29"/>
      <c r="E153" s="29"/>
      <c r="F153" s="29"/>
    </row>
    <row r="154" spans="1:6" ht="15.5" hidden="1" customHeight="1">
      <c r="A154" s="29"/>
      <c r="B154" s="29"/>
      <c r="C154" s="29"/>
      <c r="D154" s="29"/>
      <c r="E154" s="29"/>
      <c r="F154" s="29"/>
    </row>
    <row r="155" spans="1:6" ht="15.5" hidden="1" customHeight="1">
      <c r="A155" s="29"/>
      <c r="B155" s="29"/>
      <c r="C155" s="29"/>
      <c r="D155" s="29"/>
      <c r="E155" s="29"/>
      <c r="F155" s="29"/>
    </row>
    <row r="156" spans="1:6" ht="15.5" hidden="1" customHeight="1">
      <c r="A156" s="29"/>
      <c r="B156" s="29"/>
      <c r="C156" s="29"/>
      <c r="D156" s="29"/>
      <c r="E156" s="29"/>
      <c r="F156" s="29"/>
    </row>
    <row r="157" spans="1:6" ht="15.5" hidden="1" customHeight="1">
      <c r="A157" s="29"/>
      <c r="B157" s="29"/>
      <c r="C157" s="29"/>
      <c r="D157" s="29"/>
      <c r="E157" s="29"/>
      <c r="F157" s="29"/>
    </row>
    <row r="158" spans="1:6" ht="15.5" hidden="1" customHeight="1">
      <c r="A158" s="29"/>
      <c r="B158" s="29"/>
      <c r="C158" s="29"/>
      <c r="D158" s="29"/>
      <c r="E158" s="29"/>
      <c r="F158" s="29"/>
    </row>
    <row r="159" spans="1:6" ht="15.5" hidden="1" customHeight="1">
      <c r="A159" s="29"/>
      <c r="B159" s="29"/>
      <c r="C159" s="29"/>
      <c r="D159" s="29"/>
      <c r="E159" s="29"/>
      <c r="F159" s="29"/>
    </row>
    <row r="160" spans="1:6" ht="15.5" hidden="1" customHeight="1">
      <c r="A160" s="29"/>
      <c r="B160" s="29"/>
      <c r="C160" s="29"/>
      <c r="D160" s="29"/>
      <c r="E160" s="29"/>
      <c r="F160" s="29"/>
    </row>
    <row r="161" spans="1:7" ht="15.5" hidden="1" customHeight="1">
      <c r="A161" s="29"/>
      <c r="B161" s="29"/>
      <c r="C161" s="29"/>
      <c r="D161" s="29"/>
      <c r="E161" s="29"/>
      <c r="F161" s="29"/>
    </row>
    <row r="162" spans="1:7" ht="15.5" hidden="1" customHeight="1">
      <c r="A162" s="29"/>
      <c r="B162" s="29"/>
      <c r="C162" s="29"/>
      <c r="D162" s="29"/>
      <c r="E162" s="29"/>
      <c r="F162" s="29"/>
    </row>
    <row r="163" spans="1:7" ht="15.5" hidden="1" customHeight="1">
      <c r="A163" s="29"/>
      <c r="B163" s="29"/>
      <c r="C163" s="29"/>
      <c r="D163" s="29"/>
      <c r="E163" s="29"/>
      <c r="F163" s="29"/>
    </row>
    <row r="164" spans="1:7" ht="15.5" hidden="1" customHeight="1">
      <c r="A164" s="29"/>
      <c r="B164" s="29"/>
      <c r="C164" s="29"/>
      <c r="D164" s="29"/>
      <c r="E164" s="29"/>
      <c r="F164" s="29"/>
    </row>
    <row r="165" spans="1:7" ht="15.5" hidden="1" customHeight="1">
      <c r="A165" s="29"/>
      <c r="B165" s="29"/>
      <c r="C165" s="29"/>
      <c r="D165" s="29"/>
      <c r="E165" s="29"/>
      <c r="F165" s="29"/>
    </row>
    <row r="166" spans="1:7" ht="15.5">
      <c r="A166" s="50" t="s">
        <v>72</v>
      </c>
      <c r="B166" s="51"/>
      <c r="C166" s="51"/>
      <c r="D166" s="51"/>
      <c r="E166" s="51"/>
      <c r="F166" s="23">
        <f>F27+F19+F8</f>
        <v>357472704</v>
      </c>
      <c r="G166" s="1">
        <f>F166/14</f>
        <v>25533764.571428571</v>
      </c>
    </row>
    <row r="167" spans="1:7">
      <c r="D167" s="71"/>
    </row>
  </sheetData>
  <mergeCells count="9">
    <mergeCell ref="A18:E18"/>
    <mergeCell ref="A19:E19"/>
    <mergeCell ref="A21:F21"/>
    <mergeCell ref="A1:F1"/>
    <mergeCell ref="A2:F2"/>
    <mergeCell ref="A4:F4"/>
    <mergeCell ref="A8:E8"/>
    <mergeCell ref="A9:F9"/>
    <mergeCell ref="A17:E1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4"/>
  <sheetViews>
    <sheetView zoomScale="72" zoomScaleNormal="72" zoomScalePageLayoutView="85" workbookViewId="0">
      <selection activeCell="F164" sqref="F164"/>
    </sheetView>
  </sheetViews>
  <sheetFormatPr defaultColWidth="8.81640625" defaultRowHeight="14.5"/>
  <cols>
    <col min="1" max="1" width="5" bestFit="1" customWidth="1"/>
    <col min="2" max="2" width="63.81640625" customWidth="1"/>
    <col min="3" max="3" width="8.6328125" customWidth="1"/>
    <col min="4" max="4" width="12.6328125" customWidth="1"/>
    <col min="5" max="5" width="30.453125" bestFit="1" customWidth="1"/>
    <col min="6" max="6" width="26" customWidth="1"/>
    <col min="7" max="7" width="14.6328125" bestFit="1" customWidth="1"/>
    <col min="10" max="10" width="14.36328125" bestFit="1" customWidth="1"/>
  </cols>
  <sheetData>
    <row r="1" spans="1:16" ht="15.5">
      <c r="A1" s="192" t="s">
        <v>0</v>
      </c>
      <c r="B1" s="192"/>
      <c r="C1" s="192"/>
      <c r="D1" s="192"/>
      <c r="E1" s="192"/>
      <c r="F1" s="192"/>
    </row>
    <row r="2" spans="1:16" ht="15.5">
      <c r="A2" s="192" t="s">
        <v>57</v>
      </c>
      <c r="B2" s="192"/>
      <c r="C2" s="192"/>
      <c r="D2" s="192"/>
      <c r="E2" s="192"/>
      <c r="F2" s="192"/>
      <c r="J2" t="s">
        <v>63</v>
      </c>
    </row>
    <row r="3" spans="1:16" ht="15.5">
      <c r="A3" s="3" t="s">
        <v>1</v>
      </c>
      <c r="B3" s="4" t="s">
        <v>73</v>
      </c>
      <c r="C3" s="5"/>
      <c r="D3" s="5"/>
      <c r="E3" s="5"/>
      <c r="F3" s="6"/>
    </row>
    <row r="4" spans="1:16" ht="15.5">
      <c r="A4" s="189" t="s">
        <v>2</v>
      </c>
      <c r="B4" s="190"/>
      <c r="C4" s="190"/>
      <c r="D4" s="190"/>
      <c r="E4" s="190"/>
      <c r="F4" s="191"/>
    </row>
    <row r="5" spans="1:16" ht="15.5">
      <c r="A5" s="7" t="s">
        <v>3</v>
      </c>
      <c r="B5" s="7" t="s">
        <v>4</v>
      </c>
      <c r="C5" s="8" t="s">
        <v>5</v>
      </c>
      <c r="D5" s="9" t="s">
        <v>6</v>
      </c>
      <c r="E5" s="7" t="s">
        <v>7</v>
      </c>
      <c r="F5" s="7" t="s">
        <v>8</v>
      </c>
      <c r="J5">
        <f>14*8</f>
        <v>112</v>
      </c>
    </row>
    <row r="6" spans="1:16" ht="15.5">
      <c r="A6" s="10">
        <v>1</v>
      </c>
      <c r="B6" s="11" t="s">
        <v>58</v>
      </c>
      <c r="C6" s="12" t="s">
        <v>9</v>
      </c>
      <c r="D6" s="13">
        <f>3300*12</f>
        <v>39600</v>
      </c>
      <c r="E6" s="64">
        <v>2000</v>
      </c>
      <c r="F6" s="14">
        <f>E6*D6</f>
        <v>79200000</v>
      </c>
      <c r="J6">
        <f>J5*24</f>
        <v>2688</v>
      </c>
    </row>
    <row r="7" spans="1:16" ht="15.5">
      <c r="A7" s="193" t="s">
        <v>10</v>
      </c>
      <c r="B7" s="194"/>
      <c r="C7" s="194"/>
      <c r="D7" s="194"/>
      <c r="E7" s="195"/>
      <c r="F7" s="15">
        <f>SUM(F6)</f>
        <v>79200000</v>
      </c>
    </row>
    <row r="8" spans="1:16" ht="15.5">
      <c r="A8" s="189" t="s">
        <v>11</v>
      </c>
      <c r="B8" s="190"/>
      <c r="C8" s="190"/>
      <c r="D8" s="190"/>
      <c r="E8" s="190"/>
      <c r="F8" s="191"/>
    </row>
    <row r="9" spans="1:16" ht="15.5">
      <c r="A9" s="7" t="s">
        <v>3</v>
      </c>
      <c r="B9" s="7" t="s">
        <v>4</v>
      </c>
      <c r="C9" s="7" t="s">
        <v>5</v>
      </c>
      <c r="D9" s="9" t="s">
        <v>6</v>
      </c>
      <c r="E9" s="7" t="s">
        <v>7</v>
      </c>
      <c r="F9" s="7" t="s">
        <v>8</v>
      </c>
    </row>
    <row r="10" spans="1:16" ht="15.5">
      <c r="A10" s="16">
        <v>1</v>
      </c>
      <c r="B10" s="12" t="s">
        <v>33</v>
      </c>
      <c r="C10" s="17" t="s">
        <v>12</v>
      </c>
      <c r="D10" s="13">
        <f>D6</f>
        <v>39600</v>
      </c>
      <c r="E10" s="64">
        <v>690</v>
      </c>
      <c r="F10" s="14">
        <f>E10*D10</f>
        <v>27324000</v>
      </c>
    </row>
    <row r="11" spans="1:16" ht="15.5">
      <c r="A11" s="16">
        <v>2</v>
      </c>
      <c r="B11" s="18" t="s">
        <v>13</v>
      </c>
      <c r="C11" s="19" t="s">
        <v>14</v>
      </c>
      <c r="D11" s="20">
        <v>1</v>
      </c>
      <c r="E11" s="69">
        <v>3500000</v>
      </c>
      <c r="F11" s="14">
        <f>E11*D11</f>
        <v>3500000</v>
      </c>
    </row>
    <row r="12" spans="1:16" ht="15.5">
      <c r="A12" s="16">
        <v>3</v>
      </c>
      <c r="B12" s="18" t="s">
        <v>65</v>
      </c>
      <c r="C12" s="19" t="s">
        <v>9</v>
      </c>
      <c r="D12" s="20">
        <v>1968</v>
      </c>
      <c r="E12" s="64">
        <v>5200</v>
      </c>
      <c r="F12" s="14">
        <f>D12*E12</f>
        <v>10233600</v>
      </c>
      <c r="I12" s="2"/>
      <c r="J12" s="74"/>
    </row>
    <row r="13" spans="1:16" ht="15.5">
      <c r="A13" s="16">
        <v>4</v>
      </c>
      <c r="B13" s="22" t="s">
        <v>53</v>
      </c>
      <c r="C13" s="19" t="s">
        <v>30</v>
      </c>
      <c r="D13" s="20">
        <v>12</v>
      </c>
      <c r="E13" s="21">
        <v>28000</v>
      </c>
      <c r="F13" s="14">
        <f t="shared" ref="F13" si="0">E13*D13</f>
        <v>336000</v>
      </c>
      <c r="N13" t="s">
        <v>66</v>
      </c>
      <c r="O13" t="s">
        <v>67</v>
      </c>
      <c r="P13" t="s">
        <v>68</v>
      </c>
    </row>
    <row r="14" spans="1:16" ht="15.5">
      <c r="A14" s="196" t="s">
        <v>10</v>
      </c>
      <c r="B14" s="197"/>
      <c r="C14" s="197"/>
      <c r="D14" s="197"/>
      <c r="E14" s="198"/>
      <c r="F14" s="23">
        <f>SUM(F10:F13)</f>
        <v>41393600</v>
      </c>
      <c r="N14">
        <f>93/3</f>
        <v>31</v>
      </c>
    </row>
    <row r="15" spans="1:16" ht="15.5">
      <c r="A15" s="48"/>
      <c r="B15" s="49"/>
      <c r="C15" s="49"/>
      <c r="D15" s="49"/>
      <c r="E15" s="49"/>
      <c r="F15" s="66"/>
    </row>
    <row r="16" spans="1:16" ht="15.5">
      <c r="A16" s="189" t="s">
        <v>15</v>
      </c>
      <c r="B16" s="190"/>
      <c r="C16" s="190"/>
      <c r="D16" s="190"/>
      <c r="E16" s="190"/>
      <c r="F16" s="191"/>
    </row>
    <row r="17" spans="1:10" ht="15.5">
      <c r="A17" s="24" t="s">
        <v>3</v>
      </c>
      <c r="B17" s="24" t="s">
        <v>4</v>
      </c>
      <c r="C17" s="24" t="s">
        <v>59</v>
      </c>
      <c r="D17" s="24" t="s">
        <v>60</v>
      </c>
      <c r="E17" s="24" t="s">
        <v>16</v>
      </c>
      <c r="F17" s="7" t="s">
        <v>8</v>
      </c>
    </row>
    <row r="18" spans="1:10" ht="15.5">
      <c r="A18" s="16">
        <v>1</v>
      </c>
      <c r="B18" s="12" t="s">
        <v>55</v>
      </c>
      <c r="C18" s="25">
        <v>30</v>
      </c>
      <c r="D18" s="28">
        <v>5</v>
      </c>
      <c r="E18" s="26">
        <v>120000</v>
      </c>
      <c r="F18" s="27">
        <f>E18*D18*C18</f>
        <v>18000000</v>
      </c>
      <c r="H18" s="2">
        <f>C18*D18</f>
        <v>150</v>
      </c>
      <c r="J18">
        <f>(D6/350)/C18</f>
        <v>3.7714285714285714</v>
      </c>
    </row>
    <row r="19" spans="1:10" ht="15.5">
      <c r="A19" s="16">
        <v>2</v>
      </c>
      <c r="B19" s="68" t="s">
        <v>61</v>
      </c>
      <c r="C19" s="25">
        <v>30</v>
      </c>
      <c r="D19" s="28">
        <v>9</v>
      </c>
      <c r="E19" s="26">
        <v>120000</v>
      </c>
      <c r="F19" s="27">
        <f>E19*D19*C19</f>
        <v>32400000</v>
      </c>
      <c r="H19" s="2">
        <f t="shared" ref="H19:H21" si="1">C19*D19</f>
        <v>270</v>
      </c>
      <c r="J19" s="70">
        <f>(D6/175)/C19</f>
        <v>7.5428571428571427</v>
      </c>
    </row>
    <row r="20" spans="1:10" ht="15.5">
      <c r="A20" s="16">
        <v>3</v>
      </c>
      <c r="B20" s="68" t="s">
        <v>64</v>
      </c>
      <c r="C20" s="25">
        <v>5</v>
      </c>
      <c r="D20" s="28">
        <v>2</v>
      </c>
      <c r="E20" s="26">
        <v>120000</v>
      </c>
      <c r="F20" s="27">
        <f>E20*D20*C20</f>
        <v>1200000</v>
      </c>
      <c r="H20" s="2">
        <f t="shared" si="1"/>
        <v>10</v>
      </c>
      <c r="J20" s="70">
        <f>D19/C20</f>
        <v>1.8</v>
      </c>
    </row>
    <row r="21" spans="1:10" ht="15.5">
      <c r="A21" s="16">
        <v>4</v>
      </c>
      <c r="B21" s="18" t="s">
        <v>62</v>
      </c>
      <c r="C21" s="25">
        <v>30</v>
      </c>
      <c r="D21" s="39">
        <v>1</v>
      </c>
      <c r="E21" s="26">
        <v>120000</v>
      </c>
      <c r="F21" s="27">
        <f>E21*D21*C21</f>
        <v>3600000</v>
      </c>
      <c r="H21" s="2">
        <f t="shared" si="1"/>
        <v>30</v>
      </c>
    </row>
    <row r="22" spans="1:10" ht="15.5">
      <c r="A22" s="50" t="s">
        <v>10</v>
      </c>
      <c r="B22" s="51"/>
      <c r="C22" s="51"/>
      <c r="D22" s="51"/>
      <c r="E22" s="51"/>
      <c r="F22" s="67">
        <f>SUM(F18:F21)</f>
        <v>55200000</v>
      </c>
      <c r="H22" s="2">
        <f>SUM(H18:H21)</f>
        <v>460</v>
      </c>
    </row>
    <row r="23" spans="1:10" ht="15.5" hidden="1" customHeight="1">
      <c r="A23" s="29"/>
      <c r="B23" s="29"/>
      <c r="C23" s="29"/>
      <c r="D23" s="29"/>
      <c r="E23" s="29"/>
      <c r="F23" s="29"/>
    </row>
    <row r="24" spans="1:10" ht="15.5" hidden="1" customHeight="1">
      <c r="A24" s="29"/>
      <c r="B24" s="29"/>
      <c r="C24" s="29"/>
      <c r="D24" s="29"/>
      <c r="E24" s="29"/>
      <c r="F24" s="29"/>
    </row>
    <row r="25" spans="1:10" ht="15.5" hidden="1" customHeight="1">
      <c r="A25" s="52" t="s">
        <v>23</v>
      </c>
      <c r="B25" s="52"/>
      <c r="C25" s="29"/>
      <c r="D25" s="29"/>
      <c r="E25" s="29"/>
      <c r="F25" s="29"/>
    </row>
    <row r="26" spans="1:10" ht="31.25" hidden="1" customHeight="1">
      <c r="A26" s="30" t="s">
        <v>3</v>
      </c>
      <c r="B26" s="30" t="s">
        <v>4</v>
      </c>
      <c r="C26" s="31" t="s">
        <v>5</v>
      </c>
      <c r="D26" s="32" t="s">
        <v>24</v>
      </c>
      <c r="E26" s="54"/>
      <c r="F26" s="29"/>
    </row>
    <row r="27" spans="1:10" ht="15.5" hidden="1" customHeight="1">
      <c r="A27" s="30" t="s">
        <v>17</v>
      </c>
      <c r="B27" s="33" t="s">
        <v>18</v>
      </c>
      <c r="C27" s="31"/>
      <c r="D27" s="24"/>
      <c r="E27" s="55"/>
      <c r="F27" s="29"/>
    </row>
    <row r="28" spans="1:10" ht="15.5" hidden="1" customHeight="1">
      <c r="A28" s="34">
        <v>1</v>
      </c>
      <c r="B28" s="35" t="s">
        <v>25</v>
      </c>
      <c r="C28" s="36" t="s">
        <v>19</v>
      </c>
      <c r="D28" s="37">
        <v>2</v>
      </c>
      <c r="E28" s="56"/>
      <c r="F28" s="29"/>
    </row>
    <row r="29" spans="1:10" ht="15.5" hidden="1" customHeight="1">
      <c r="A29" s="34">
        <v>2</v>
      </c>
      <c r="B29" s="38" t="s">
        <v>26</v>
      </c>
      <c r="C29" s="36" t="s">
        <v>19</v>
      </c>
      <c r="D29" s="39">
        <v>12</v>
      </c>
      <c r="E29" s="57"/>
      <c r="F29" s="29"/>
    </row>
    <row r="30" spans="1:10" ht="15.5" hidden="1" customHeight="1">
      <c r="A30" s="34">
        <v>3</v>
      </c>
      <c r="B30" s="40" t="s">
        <v>27</v>
      </c>
      <c r="C30" s="36" t="s">
        <v>19</v>
      </c>
      <c r="D30" s="39">
        <v>14</v>
      </c>
      <c r="E30" s="57"/>
      <c r="F30" s="29"/>
    </row>
    <row r="31" spans="1:10" ht="15.5" hidden="1" customHeight="1">
      <c r="A31" s="41" t="s">
        <v>20</v>
      </c>
      <c r="B31" s="42" t="s">
        <v>21</v>
      </c>
      <c r="C31" s="36"/>
      <c r="D31" s="25"/>
      <c r="E31" s="58"/>
      <c r="F31" s="29"/>
    </row>
    <row r="32" spans="1:10" ht="15.5" hidden="1" customHeight="1">
      <c r="A32" s="34">
        <v>1</v>
      </c>
      <c r="B32" s="43" t="s">
        <v>31</v>
      </c>
      <c r="C32" s="36" t="s">
        <v>19</v>
      </c>
      <c r="D32" s="39">
        <v>30</v>
      </c>
      <c r="E32" s="57"/>
      <c r="F32" s="29"/>
    </row>
    <row r="33" spans="1:6" ht="15.5" hidden="1" customHeight="1">
      <c r="A33" s="44" t="s">
        <v>22</v>
      </c>
      <c r="B33" s="45" t="s">
        <v>28</v>
      </c>
      <c r="C33" s="46" t="s">
        <v>19</v>
      </c>
      <c r="D33" s="47">
        <v>3</v>
      </c>
      <c r="E33" s="59"/>
      <c r="F33" s="29"/>
    </row>
    <row r="34" spans="1:6" ht="15.5" hidden="1" customHeight="1">
      <c r="A34" s="53" t="s">
        <v>29</v>
      </c>
      <c r="B34" s="53"/>
      <c r="C34" s="53"/>
      <c r="D34" s="53"/>
      <c r="E34" s="60"/>
      <c r="F34" s="29"/>
    </row>
    <row r="35" spans="1:6" ht="15.5" hidden="1" customHeight="1">
      <c r="A35" s="29"/>
      <c r="B35" s="29"/>
      <c r="C35" s="29"/>
      <c r="D35" s="29"/>
      <c r="E35" s="29"/>
      <c r="F35" s="29"/>
    </row>
    <row r="36" spans="1:6" ht="15.5" hidden="1" customHeight="1">
      <c r="A36" s="29"/>
      <c r="B36" s="29"/>
      <c r="C36" s="29"/>
      <c r="D36" s="29"/>
      <c r="E36" s="29"/>
      <c r="F36" s="29"/>
    </row>
    <row r="37" spans="1:6" ht="15.5" hidden="1" customHeight="1">
      <c r="A37" s="29"/>
      <c r="B37" s="29"/>
      <c r="C37" s="29"/>
      <c r="D37" s="29"/>
      <c r="E37" s="29"/>
      <c r="F37" s="29"/>
    </row>
    <row r="38" spans="1:6" ht="15.5" hidden="1" customHeight="1">
      <c r="A38" s="29"/>
      <c r="B38" s="29"/>
      <c r="C38" s="29"/>
      <c r="D38" s="29"/>
      <c r="E38" s="29"/>
      <c r="F38" s="29"/>
    </row>
    <row r="39" spans="1:6" ht="15.5" hidden="1" customHeight="1">
      <c r="A39" s="29"/>
      <c r="B39" s="29"/>
      <c r="C39" s="29"/>
      <c r="D39" s="29"/>
      <c r="E39" s="29"/>
      <c r="F39" s="29"/>
    </row>
    <row r="40" spans="1:6" ht="15.5" hidden="1" customHeight="1">
      <c r="A40" s="29"/>
      <c r="B40" s="29"/>
      <c r="C40" s="29"/>
      <c r="D40" s="29"/>
      <c r="E40" s="29"/>
      <c r="F40" s="29"/>
    </row>
    <row r="41" spans="1:6" ht="15.5" hidden="1" customHeight="1">
      <c r="A41" s="29"/>
      <c r="B41" s="29"/>
      <c r="C41" s="29"/>
      <c r="D41" s="29"/>
      <c r="E41" s="29"/>
      <c r="F41" s="29"/>
    </row>
    <row r="42" spans="1:6" ht="15.5" hidden="1" customHeight="1">
      <c r="A42" s="29"/>
      <c r="B42" s="29"/>
      <c r="C42" s="29"/>
      <c r="D42" s="29"/>
      <c r="E42" s="29"/>
      <c r="F42" s="29"/>
    </row>
    <row r="43" spans="1:6" ht="15.5" hidden="1" customHeight="1">
      <c r="A43" s="29"/>
      <c r="B43" s="29"/>
      <c r="C43" s="29"/>
      <c r="D43" s="29"/>
      <c r="E43" s="29"/>
      <c r="F43" s="29"/>
    </row>
    <row r="44" spans="1:6" ht="15.5" hidden="1" customHeight="1">
      <c r="A44" s="29"/>
      <c r="B44" s="29"/>
      <c r="C44" s="29"/>
      <c r="D44" s="29"/>
      <c r="E44" s="29"/>
      <c r="F44" s="29"/>
    </row>
    <row r="45" spans="1:6" ht="15.5" hidden="1" customHeight="1">
      <c r="A45" s="29"/>
      <c r="B45" s="29"/>
      <c r="C45" s="29"/>
      <c r="D45" s="29"/>
      <c r="E45" s="29"/>
      <c r="F45" s="29"/>
    </row>
    <row r="46" spans="1:6" ht="15.5" hidden="1" customHeight="1">
      <c r="A46" s="29"/>
      <c r="B46" s="29"/>
      <c r="C46" s="29"/>
      <c r="D46" s="29"/>
      <c r="E46" s="29"/>
      <c r="F46" s="29"/>
    </row>
    <row r="47" spans="1:6" ht="15.5" hidden="1" customHeight="1">
      <c r="A47" s="29"/>
      <c r="B47" s="29"/>
      <c r="C47" s="29"/>
      <c r="D47" s="29"/>
      <c r="E47" s="29"/>
      <c r="F47" s="29"/>
    </row>
    <row r="48" spans="1:6" ht="15.5" hidden="1" customHeight="1">
      <c r="A48" s="29"/>
      <c r="B48" s="29"/>
      <c r="C48" s="29"/>
      <c r="D48" s="29"/>
      <c r="E48" s="29"/>
      <c r="F48" s="29"/>
    </row>
    <row r="49" spans="1:6" ht="15.5" hidden="1" customHeight="1">
      <c r="A49" s="29"/>
      <c r="B49" s="29"/>
      <c r="C49" s="29"/>
      <c r="D49" s="29"/>
      <c r="E49" s="29"/>
      <c r="F49" s="29"/>
    </row>
    <row r="50" spans="1:6" ht="15.5" hidden="1" customHeight="1">
      <c r="A50" s="29"/>
      <c r="B50" s="29"/>
      <c r="C50" s="29"/>
      <c r="D50" s="29"/>
      <c r="E50" s="29"/>
      <c r="F50" s="29"/>
    </row>
    <row r="51" spans="1:6" ht="15.5" hidden="1" customHeight="1">
      <c r="A51" s="29"/>
      <c r="B51" s="29"/>
      <c r="C51" s="29"/>
      <c r="D51" s="29"/>
      <c r="E51" s="29"/>
      <c r="F51" s="29"/>
    </row>
    <row r="52" spans="1:6" ht="15.5" hidden="1" customHeight="1">
      <c r="A52" s="29"/>
      <c r="B52" s="29"/>
      <c r="C52" s="29"/>
      <c r="D52" s="29"/>
      <c r="E52" s="29"/>
      <c r="F52" s="29"/>
    </row>
    <row r="53" spans="1:6" ht="15.5" hidden="1" customHeight="1">
      <c r="A53" s="29"/>
      <c r="B53" s="29"/>
      <c r="C53" s="29"/>
      <c r="D53" s="29"/>
      <c r="E53" s="29"/>
      <c r="F53" s="29"/>
    </row>
    <row r="54" spans="1:6" ht="15.5" hidden="1" customHeight="1">
      <c r="A54" s="29"/>
      <c r="B54" s="29"/>
      <c r="C54" s="29"/>
      <c r="D54" s="29"/>
      <c r="E54" s="29"/>
      <c r="F54" s="29"/>
    </row>
    <row r="55" spans="1:6" ht="15.5" hidden="1" customHeight="1">
      <c r="A55" s="29"/>
      <c r="B55" s="29"/>
      <c r="C55" s="29"/>
      <c r="D55" s="29"/>
      <c r="E55" s="29"/>
      <c r="F55" s="29"/>
    </row>
    <row r="56" spans="1:6" ht="15.5" hidden="1" customHeight="1">
      <c r="A56" s="29"/>
      <c r="B56" s="29"/>
      <c r="C56" s="29"/>
      <c r="D56" s="29"/>
      <c r="E56" s="29"/>
      <c r="F56" s="29"/>
    </row>
    <row r="57" spans="1:6" ht="15.5" hidden="1" customHeight="1">
      <c r="A57" s="29"/>
      <c r="B57" s="29"/>
      <c r="C57" s="29"/>
      <c r="D57" s="29"/>
      <c r="E57" s="29"/>
      <c r="F57" s="29"/>
    </row>
    <row r="58" spans="1:6" ht="15.5" hidden="1" customHeight="1">
      <c r="A58" s="29"/>
      <c r="B58" s="29"/>
      <c r="C58" s="29"/>
      <c r="D58" s="29"/>
      <c r="E58" s="29"/>
      <c r="F58" s="29"/>
    </row>
    <row r="59" spans="1:6" ht="15.5" hidden="1" customHeight="1">
      <c r="A59" s="29"/>
      <c r="B59" s="29"/>
      <c r="C59" s="29"/>
      <c r="D59" s="29"/>
      <c r="E59" s="29"/>
      <c r="F59" s="29"/>
    </row>
    <row r="60" spans="1:6" ht="15.5" hidden="1" customHeight="1">
      <c r="A60" s="29"/>
      <c r="B60" s="29"/>
      <c r="C60" s="29"/>
      <c r="D60" s="29"/>
      <c r="E60" s="29"/>
      <c r="F60" s="29"/>
    </row>
    <row r="61" spans="1:6" ht="15.5" hidden="1" customHeight="1">
      <c r="A61" s="29"/>
      <c r="B61" s="29"/>
      <c r="C61" s="29"/>
      <c r="D61" s="29"/>
      <c r="E61" s="29"/>
      <c r="F61" s="29"/>
    </row>
    <row r="62" spans="1:6" ht="15.5" hidden="1" customHeight="1">
      <c r="A62" s="29"/>
      <c r="B62" s="29"/>
      <c r="C62" s="29"/>
      <c r="D62" s="29"/>
      <c r="E62" s="29"/>
      <c r="F62" s="29"/>
    </row>
    <row r="63" spans="1:6" ht="15.5" hidden="1" customHeight="1">
      <c r="A63" s="29"/>
      <c r="B63" s="29"/>
      <c r="C63" s="29"/>
      <c r="D63" s="29"/>
      <c r="E63" s="29"/>
      <c r="F63" s="29"/>
    </row>
    <row r="64" spans="1:6" ht="15.5" hidden="1" customHeight="1">
      <c r="A64" s="29"/>
      <c r="B64" s="29"/>
      <c r="C64" s="29"/>
      <c r="D64" s="29"/>
      <c r="E64" s="29"/>
      <c r="F64" s="29"/>
    </row>
    <row r="65" spans="1:6" ht="15.5" hidden="1" customHeight="1">
      <c r="A65" s="29"/>
      <c r="B65" s="29"/>
      <c r="C65" s="29"/>
      <c r="D65" s="29"/>
      <c r="E65" s="29"/>
      <c r="F65" s="29"/>
    </row>
    <row r="66" spans="1:6" ht="15.5" hidden="1" customHeight="1">
      <c r="A66" s="29"/>
      <c r="B66" s="29"/>
      <c r="C66" s="29"/>
      <c r="D66" s="29"/>
      <c r="E66" s="29"/>
      <c r="F66" s="29"/>
    </row>
    <row r="67" spans="1:6" ht="15.5" hidden="1" customHeight="1">
      <c r="A67" s="29"/>
      <c r="B67" s="29"/>
      <c r="C67" s="29"/>
      <c r="D67" s="29"/>
      <c r="E67" s="29"/>
      <c r="F67" s="29"/>
    </row>
    <row r="68" spans="1:6" ht="15.5" hidden="1" customHeight="1">
      <c r="A68" s="29"/>
      <c r="B68" s="29"/>
      <c r="C68" s="29"/>
      <c r="D68" s="29"/>
      <c r="E68" s="29"/>
      <c r="F68" s="29"/>
    </row>
    <row r="69" spans="1:6" ht="15.5" hidden="1" customHeight="1">
      <c r="A69" s="29"/>
      <c r="B69" s="29"/>
      <c r="C69" s="29"/>
      <c r="D69" s="29"/>
      <c r="E69" s="29"/>
      <c r="F69" s="29"/>
    </row>
    <row r="70" spans="1:6" ht="15.5" hidden="1" customHeight="1">
      <c r="A70" s="29"/>
      <c r="B70" s="29"/>
      <c r="C70" s="29"/>
      <c r="D70" s="29"/>
      <c r="E70" s="29"/>
      <c r="F70" s="29"/>
    </row>
    <row r="71" spans="1:6" ht="15.5" hidden="1" customHeight="1">
      <c r="A71" s="29"/>
      <c r="B71" s="29"/>
      <c r="C71" s="29"/>
      <c r="D71" s="29"/>
      <c r="E71" s="29"/>
      <c r="F71" s="29"/>
    </row>
    <row r="72" spans="1:6" ht="15.5" hidden="1" customHeight="1">
      <c r="A72" s="29"/>
      <c r="B72" s="29"/>
      <c r="C72" s="29"/>
      <c r="D72" s="29"/>
      <c r="E72" s="29"/>
      <c r="F72" s="29"/>
    </row>
    <row r="73" spans="1:6" ht="15.5" hidden="1" customHeight="1">
      <c r="A73" s="29"/>
      <c r="B73" s="29"/>
      <c r="C73" s="29"/>
      <c r="D73" s="29"/>
      <c r="E73" s="29"/>
      <c r="F73" s="29"/>
    </row>
    <row r="74" spans="1:6" ht="15.5" hidden="1" customHeight="1">
      <c r="A74" s="29"/>
      <c r="B74" s="29"/>
      <c r="C74" s="29"/>
      <c r="D74" s="29"/>
      <c r="E74" s="29"/>
      <c r="F74" s="29"/>
    </row>
    <row r="75" spans="1:6" ht="15.5" hidden="1" customHeight="1">
      <c r="A75" s="29"/>
      <c r="B75" s="29"/>
      <c r="C75" s="29"/>
      <c r="D75" s="29"/>
      <c r="E75" s="29"/>
      <c r="F75" s="29"/>
    </row>
    <row r="76" spans="1:6" ht="15.5" hidden="1" customHeight="1">
      <c r="A76" s="29"/>
      <c r="B76" s="29"/>
      <c r="C76" s="29"/>
      <c r="D76" s="29"/>
      <c r="E76" s="29"/>
      <c r="F76" s="29"/>
    </row>
    <row r="77" spans="1:6" ht="15.5" hidden="1" customHeight="1">
      <c r="A77" s="29"/>
      <c r="B77" s="29"/>
      <c r="C77" s="29"/>
      <c r="D77" s="29"/>
      <c r="E77" s="29"/>
      <c r="F77" s="29"/>
    </row>
    <row r="78" spans="1:6" ht="15.5" hidden="1" customHeight="1">
      <c r="A78" s="29"/>
      <c r="B78" s="29"/>
      <c r="C78" s="29"/>
      <c r="D78" s="29"/>
      <c r="E78" s="29"/>
      <c r="F78" s="29"/>
    </row>
    <row r="79" spans="1:6" ht="15.5" hidden="1" customHeight="1">
      <c r="A79" s="29"/>
      <c r="B79" s="29"/>
      <c r="C79" s="29"/>
      <c r="D79" s="29"/>
      <c r="E79" s="29"/>
      <c r="F79" s="29"/>
    </row>
    <row r="80" spans="1:6" ht="15.5" hidden="1" customHeight="1">
      <c r="A80" s="29"/>
      <c r="B80" s="29"/>
      <c r="C80" s="29"/>
      <c r="D80" s="29"/>
      <c r="E80" s="29"/>
      <c r="F80" s="29"/>
    </row>
    <row r="81" spans="1:6" ht="15.5" hidden="1" customHeight="1">
      <c r="A81" s="29"/>
      <c r="B81" s="29"/>
      <c r="C81" s="29"/>
      <c r="D81" s="29"/>
      <c r="E81" s="29"/>
      <c r="F81" s="29"/>
    </row>
    <row r="82" spans="1:6" ht="15.5" hidden="1" customHeight="1">
      <c r="A82" s="29"/>
      <c r="B82" s="29"/>
      <c r="C82" s="29"/>
      <c r="D82" s="29"/>
      <c r="E82" s="29"/>
      <c r="F82" s="29"/>
    </row>
    <row r="83" spans="1:6" ht="15.5" hidden="1" customHeight="1">
      <c r="A83" s="29"/>
      <c r="B83" s="29"/>
      <c r="C83" s="29"/>
      <c r="D83" s="29"/>
      <c r="E83" s="29"/>
      <c r="F83" s="29"/>
    </row>
    <row r="84" spans="1:6" ht="15.5" hidden="1" customHeight="1">
      <c r="A84" s="29"/>
      <c r="B84" s="29"/>
      <c r="C84" s="29"/>
      <c r="D84" s="29"/>
      <c r="E84" s="29"/>
      <c r="F84" s="29"/>
    </row>
    <row r="85" spans="1:6" ht="15.5" hidden="1" customHeight="1">
      <c r="A85" s="29"/>
      <c r="B85" s="29"/>
      <c r="C85" s="29"/>
      <c r="D85" s="29"/>
      <c r="E85" s="29"/>
      <c r="F85" s="29"/>
    </row>
    <row r="86" spans="1:6" ht="15.5" hidden="1" customHeight="1">
      <c r="A86" s="29"/>
      <c r="B86" s="29"/>
      <c r="C86" s="29"/>
      <c r="D86" s="29"/>
      <c r="E86" s="29"/>
      <c r="F86" s="29"/>
    </row>
    <row r="87" spans="1:6" ht="15.5" hidden="1" customHeight="1">
      <c r="A87" s="29"/>
      <c r="B87" s="29"/>
      <c r="C87" s="29"/>
      <c r="D87" s="29"/>
      <c r="E87" s="29"/>
      <c r="F87" s="29"/>
    </row>
    <row r="88" spans="1:6" ht="15.5" hidden="1" customHeight="1">
      <c r="A88" s="29"/>
      <c r="B88" s="29"/>
      <c r="C88" s="29"/>
      <c r="D88" s="29"/>
      <c r="E88" s="29"/>
      <c r="F88" s="29"/>
    </row>
    <row r="89" spans="1:6" ht="15.5" hidden="1" customHeight="1">
      <c r="A89" s="29"/>
      <c r="B89" s="29"/>
      <c r="C89" s="29"/>
      <c r="D89" s="29"/>
      <c r="E89" s="29"/>
      <c r="F89" s="29"/>
    </row>
    <row r="90" spans="1:6" ht="15.5" hidden="1" customHeight="1">
      <c r="A90" s="29"/>
      <c r="B90" s="29"/>
      <c r="C90" s="29"/>
      <c r="D90" s="29"/>
      <c r="E90" s="29"/>
      <c r="F90" s="29"/>
    </row>
    <row r="91" spans="1:6" ht="15.5" hidden="1" customHeight="1">
      <c r="A91" s="29"/>
      <c r="B91" s="29"/>
      <c r="C91" s="29"/>
      <c r="D91" s="29"/>
      <c r="E91" s="29"/>
      <c r="F91" s="29"/>
    </row>
    <row r="92" spans="1:6" ht="15.5" hidden="1" customHeight="1">
      <c r="A92" s="29"/>
      <c r="B92" s="29"/>
      <c r="C92" s="29"/>
      <c r="D92" s="29"/>
      <c r="E92" s="29"/>
      <c r="F92" s="29"/>
    </row>
    <row r="93" spans="1:6" ht="15.5" hidden="1" customHeight="1">
      <c r="A93" s="29"/>
      <c r="B93" s="29"/>
      <c r="C93" s="29"/>
      <c r="D93" s="29"/>
      <c r="E93" s="29"/>
      <c r="F93" s="29"/>
    </row>
    <row r="94" spans="1:6" ht="15.5" hidden="1" customHeight="1">
      <c r="A94" s="29"/>
      <c r="B94" s="29"/>
      <c r="C94" s="29"/>
      <c r="D94" s="29"/>
      <c r="E94" s="29"/>
      <c r="F94" s="29"/>
    </row>
    <row r="95" spans="1:6" ht="15.5" hidden="1" customHeight="1">
      <c r="A95" s="29"/>
      <c r="B95" s="29"/>
      <c r="C95" s="29"/>
      <c r="D95" s="29"/>
      <c r="E95" s="29"/>
      <c r="F95" s="29"/>
    </row>
    <row r="96" spans="1:6" ht="15.5" hidden="1" customHeight="1">
      <c r="A96" s="29"/>
      <c r="B96" s="29"/>
      <c r="C96" s="29"/>
      <c r="D96" s="29"/>
      <c r="E96" s="29"/>
      <c r="F96" s="29"/>
    </row>
    <row r="97" spans="1:6" ht="15.5" hidden="1" customHeight="1">
      <c r="A97" s="29"/>
      <c r="B97" s="29"/>
      <c r="C97" s="29"/>
      <c r="D97" s="29"/>
      <c r="E97" s="29"/>
      <c r="F97" s="29"/>
    </row>
    <row r="98" spans="1:6" ht="15.5" hidden="1" customHeight="1">
      <c r="A98" s="29"/>
      <c r="B98" s="29"/>
      <c r="C98" s="29"/>
      <c r="D98" s="29"/>
      <c r="E98" s="29"/>
      <c r="F98" s="29"/>
    </row>
    <row r="99" spans="1:6" ht="15.5" hidden="1" customHeight="1">
      <c r="A99" s="29"/>
      <c r="B99" s="29"/>
      <c r="C99" s="29"/>
      <c r="D99" s="29"/>
      <c r="E99" s="29"/>
      <c r="F99" s="29"/>
    </row>
    <row r="100" spans="1:6" ht="15.5" hidden="1" customHeight="1">
      <c r="A100" s="29"/>
      <c r="B100" s="29"/>
      <c r="C100" s="29"/>
      <c r="D100" s="29"/>
      <c r="E100" s="29"/>
      <c r="F100" s="29"/>
    </row>
    <row r="101" spans="1:6" ht="15.5" hidden="1" customHeight="1">
      <c r="A101" s="29"/>
      <c r="B101" s="29"/>
      <c r="C101" s="29"/>
      <c r="D101" s="29"/>
      <c r="E101" s="29"/>
      <c r="F101" s="29"/>
    </row>
    <row r="102" spans="1:6" ht="15.5" hidden="1" customHeight="1">
      <c r="A102" s="29"/>
      <c r="B102" s="29"/>
      <c r="C102" s="29"/>
      <c r="D102" s="29"/>
      <c r="E102" s="29"/>
      <c r="F102" s="29"/>
    </row>
    <row r="103" spans="1:6" ht="15.5" hidden="1" customHeight="1">
      <c r="A103" s="29"/>
      <c r="B103" s="29"/>
      <c r="C103" s="29"/>
      <c r="D103" s="29"/>
      <c r="E103" s="29"/>
      <c r="F103" s="29"/>
    </row>
    <row r="104" spans="1:6" ht="15.5" hidden="1" customHeight="1">
      <c r="A104" s="29"/>
      <c r="B104" s="29"/>
      <c r="C104" s="29"/>
      <c r="D104" s="29"/>
      <c r="E104" s="29"/>
      <c r="F104" s="29"/>
    </row>
    <row r="105" spans="1:6" ht="15.5" hidden="1" customHeight="1">
      <c r="A105" s="29"/>
      <c r="B105" s="29"/>
      <c r="C105" s="29"/>
      <c r="D105" s="29"/>
      <c r="E105" s="29"/>
      <c r="F105" s="29"/>
    </row>
    <row r="106" spans="1:6" ht="15.5" hidden="1" customHeight="1">
      <c r="A106" s="29"/>
      <c r="B106" s="29"/>
      <c r="C106" s="29"/>
      <c r="D106" s="29"/>
      <c r="E106" s="29"/>
      <c r="F106" s="29"/>
    </row>
    <row r="107" spans="1:6" ht="15.5" hidden="1" customHeight="1">
      <c r="A107" s="29"/>
      <c r="B107" s="29"/>
      <c r="C107" s="29"/>
      <c r="D107" s="29"/>
      <c r="E107" s="29"/>
      <c r="F107" s="29"/>
    </row>
    <row r="108" spans="1:6" ht="15.5" hidden="1" customHeight="1">
      <c r="A108" s="29"/>
      <c r="B108" s="29"/>
      <c r="C108" s="29"/>
      <c r="D108" s="29"/>
      <c r="E108" s="29"/>
      <c r="F108" s="29"/>
    </row>
    <row r="109" spans="1:6" ht="15.5" hidden="1" customHeight="1">
      <c r="A109" s="29"/>
      <c r="B109" s="29"/>
      <c r="C109" s="29"/>
      <c r="D109" s="29"/>
      <c r="E109" s="29"/>
      <c r="F109" s="29"/>
    </row>
    <row r="110" spans="1:6" ht="15.5" hidden="1" customHeight="1">
      <c r="A110" s="29"/>
      <c r="B110" s="29"/>
      <c r="C110" s="29"/>
      <c r="D110" s="29"/>
      <c r="E110" s="29"/>
      <c r="F110" s="29"/>
    </row>
    <row r="111" spans="1:6" ht="15.5" hidden="1" customHeight="1">
      <c r="A111" s="29"/>
      <c r="B111" s="29"/>
      <c r="C111" s="29"/>
      <c r="D111" s="29"/>
      <c r="E111" s="29"/>
      <c r="F111" s="29"/>
    </row>
    <row r="112" spans="1:6" ht="15.5" hidden="1" customHeight="1">
      <c r="A112" s="29"/>
      <c r="B112" s="29"/>
      <c r="C112" s="29"/>
      <c r="D112" s="29"/>
      <c r="E112" s="29"/>
      <c r="F112" s="29"/>
    </row>
    <row r="113" spans="1:6" ht="15.5" hidden="1" customHeight="1">
      <c r="A113" s="29"/>
      <c r="B113" s="29"/>
      <c r="C113" s="29"/>
      <c r="D113" s="29"/>
      <c r="E113" s="29"/>
      <c r="F113" s="29"/>
    </row>
    <row r="114" spans="1:6" ht="15.5" hidden="1" customHeight="1">
      <c r="A114" s="29"/>
      <c r="B114" s="29"/>
      <c r="C114" s="29"/>
      <c r="D114" s="29"/>
      <c r="E114" s="29"/>
      <c r="F114" s="29"/>
    </row>
    <row r="115" spans="1:6" ht="15.5" hidden="1" customHeight="1">
      <c r="A115" s="29"/>
      <c r="B115" s="29"/>
      <c r="C115" s="29"/>
      <c r="D115" s="29"/>
      <c r="E115" s="29"/>
      <c r="F115" s="29"/>
    </row>
    <row r="116" spans="1:6" ht="15.5" hidden="1" customHeight="1">
      <c r="A116" s="29"/>
      <c r="B116" s="29"/>
      <c r="C116" s="29"/>
      <c r="D116" s="29"/>
      <c r="E116" s="29"/>
      <c r="F116" s="29"/>
    </row>
    <row r="117" spans="1:6" ht="15.5" hidden="1" customHeight="1">
      <c r="A117" s="29"/>
      <c r="B117" s="29"/>
      <c r="C117" s="29"/>
      <c r="D117" s="29"/>
      <c r="E117" s="29"/>
      <c r="F117" s="29"/>
    </row>
    <row r="118" spans="1:6" ht="15.5" hidden="1" customHeight="1">
      <c r="A118" s="29"/>
      <c r="B118" s="29"/>
      <c r="C118" s="29"/>
      <c r="D118" s="29"/>
      <c r="E118" s="29"/>
      <c r="F118" s="29"/>
    </row>
    <row r="119" spans="1:6" ht="15.5" hidden="1" customHeight="1">
      <c r="A119" s="29"/>
      <c r="B119" s="29"/>
      <c r="C119" s="29"/>
      <c r="D119" s="29"/>
      <c r="E119" s="29"/>
      <c r="F119" s="29"/>
    </row>
    <row r="120" spans="1:6" ht="15.5" hidden="1" customHeight="1">
      <c r="A120" s="29"/>
      <c r="B120" s="29"/>
      <c r="C120" s="29"/>
      <c r="D120" s="29"/>
      <c r="E120" s="29"/>
      <c r="F120" s="29"/>
    </row>
    <row r="121" spans="1:6" ht="15.5" hidden="1" customHeight="1">
      <c r="A121" s="29"/>
      <c r="B121" s="29"/>
      <c r="C121" s="29"/>
      <c r="D121" s="29"/>
      <c r="E121" s="29"/>
      <c r="F121" s="29"/>
    </row>
    <row r="122" spans="1:6" ht="15.5" hidden="1" customHeight="1">
      <c r="A122" s="29"/>
      <c r="B122" s="29"/>
      <c r="C122" s="29"/>
      <c r="D122" s="29"/>
      <c r="E122" s="29"/>
      <c r="F122" s="29"/>
    </row>
    <row r="123" spans="1:6" ht="15.5" hidden="1" customHeight="1">
      <c r="A123" s="29"/>
      <c r="B123" s="29"/>
      <c r="C123" s="29"/>
      <c r="D123" s="29"/>
      <c r="E123" s="29"/>
      <c r="F123" s="29"/>
    </row>
    <row r="124" spans="1:6" ht="15.5" hidden="1" customHeight="1">
      <c r="A124" s="29"/>
      <c r="B124" s="29"/>
      <c r="C124" s="29"/>
      <c r="D124" s="29"/>
      <c r="E124" s="29"/>
      <c r="F124" s="29"/>
    </row>
    <row r="125" spans="1:6" ht="15.5" hidden="1" customHeight="1">
      <c r="A125" s="29"/>
      <c r="B125" s="29"/>
      <c r="C125" s="29"/>
      <c r="D125" s="29"/>
      <c r="E125" s="29"/>
      <c r="F125" s="29"/>
    </row>
    <row r="126" spans="1:6" ht="15.5" hidden="1" customHeight="1">
      <c r="A126" s="29"/>
      <c r="B126" s="29"/>
      <c r="C126" s="29"/>
      <c r="D126" s="29"/>
      <c r="E126" s="29"/>
      <c r="F126" s="29"/>
    </row>
    <row r="127" spans="1:6" ht="15.5" hidden="1" customHeight="1">
      <c r="A127" s="29"/>
      <c r="B127" s="29"/>
      <c r="C127" s="29"/>
      <c r="D127" s="29"/>
      <c r="E127" s="29"/>
      <c r="F127" s="29"/>
    </row>
    <row r="128" spans="1:6" ht="15.5" hidden="1" customHeight="1">
      <c r="A128" s="29"/>
      <c r="B128" s="29"/>
      <c r="C128" s="29"/>
      <c r="D128" s="29"/>
      <c r="E128" s="29"/>
      <c r="F128" s="29"/>
    </row>
    <row r="129" spans="1:6" ht="15.5" hidden="1" customHeight="1">
      <c r="A129" s="29"/>
      <c r="B129" s="29"/>
      <c r="C129" s="29"/>
      <c r="D129" s="29"/>
      <c r="E129" s="29"/>
      <c r="F129" s="29"/>
    </row>
    <row r="130" spans="1:6" ht="15.5" hidden="1" customHeight="1">
      <c r="A130" s="29"/>
      <c r="B130" s="29"/>
      <c r="C130" s="29"/>
      <c r="D130" s="29"/>
      <c r="E130" s="29"/>
      <c r="F130" s="29"/>
    </row>
    <row r="131" spans="1:6" ht="15.5" hidden="1" customHeight="1">
      <c r="A131" s="29"/>
      <c r="B131" s="29"/>
      <c r="C131" s="29"/>
      <c r="D131" s="29"/>
      <c r="E131" s="29"/>
      <c r="F131" s="29"/>
    </row>
    <row r="132" spans="1:6" ht="15.5" hidden="1" customHeight="1">
      <c r="A132" s="29"/>
      <c r="B132" s="29"/>
      <c r="C132" s="29"/>
      <c r="D132" s="29"/>
      <c r="E132" s="29"/>
      <c r="F132" s="29"/>
    </row>
    <row r="133" spans="1:6" ht="15.5" hidden="1" customHeight="1">
      <c r="A133" s="29"/>
      <c r="B133" s="29"/>
      <c r="C133" s="29"/>
      <c r="D133" s="29"/>
      <c r="E133" s="29"/>
      <c r="F133" s="29"/>
    </row>
    <row r="134" spans="1:6" ht="15.5" hidden="1" customHeight="1">
      <c r="A134" s="29"/>
      <c r="B134" s="29"/>
      <c r="C134" s="29"/>
      <c r="D134" s="29"/>
      <c r="E134" s="29"/>
      <c r="F134" s="29"/>
    </row>
    <row r="135" spans="1:6" ht="15.5" hidden="1" customHeight="1">
      <c r="A135" s="29"/>
      <c r="B135" s="29"/>
      <c r="C135" s="29"/>
      <c r="D135" s="29"/>
      <c r="E135" s="29"/>
      <c r="F135" s="29"/>
    </row>
    <row r="136" spans="1:6" ht="15.5" hidden="1" customHeight="1">
      <c r="A136" s="29"/>
      <c r="B136" s="29"/>
      <c r="C136" s="29"/>
      <c r="D136" s="29"/>
      <c r="E136" s="29"/>
      <c r="F136" s="29"/>
    </row>
    <row r="137" spans="1:6" ht="15.5" hidden="1" customHeight="1">
      <c r="A137" s="29"/>
      <c r="B137" s="29"/>
      <c r="C137" s="29"/>
      <c r="D137" s="29"/>
      <c r="E137" s="29"/>
      <c r="F137" s="29"/>
    </row>
    <row r="138" spans="1:6" ht="15.5" hidden="1" customHeight="1">
      <c r="A138" s="29"/>
      <c r="B138" s="29"/>
      <c r="C138" s="29"/>
      <c r="D138" s="29"/>
      <c r="E138" s="29"/>
      <c r="F138" s="29"/>
    </row>
    <row r="139" spans="1:6" ht="15.5" hidden="1" customHeight="1">
      <c r="A139" s="29"/>
      <c r="B139" s="29"/>
      <c r="C139" s="29"/>
      <c r="D139" s="29"/>
      <c r="E139" s="29"/>
      <c r="F139" s="29"/>
    </row>
    <row r="140" spans="1:6" ht="15.5" hidden="1" customHeight="1">
      <c r="A140" s="29"/>
      <c r="B140" s="29"/>
      <c r="C140" s="29"/>
      <c r="D140" s="29"/>
      <c r="E140" s="29"/>
      <c r="F140" s="29"/>
    </row>
    <row r="141" spans="1:6" ht="15.5" hidden="1" customHeight="1">
      <c r="A141" s="29"/>
      <c r="B141" s="29"/>
      <c r="C141" s="29"/>
      <c r="D141" s="29"/>
      <c r="E141" s="29"/>
      <c r="F141" s="29"/>
    </row>
    <row r="142" spans="1:6" ht="15.5" hidden="1" customHeight="1">
      <c r="A142" s="29"/>
      <c r="B142" s="29"/>
      <c r="C142" s="29"/>
      <c r="D142" s="29"/>
      <c r="E142" s="29"/>
      <c r="F142" s="29"/>
    </row>
    <row r="143" spans="1:6" ht="15.5" hidden="1" customHeight="1">
      <c r="A143" s="29"/>
      <c r="B143" s="29"/>
      <c r="C143" s="29"/>
      <c r="D143" s="29"/>
      <c r="E143" s="29"/>
      <c r="F143" s="29"/>
    </row>
    <row r="144" spans="1:6" ht="15.5" hidden="1" customHeight="1">
      <c r="A144" s="29"/>
      <c r="B144" s="29"/>
      <c r="C144" s="29"/>
      <c r="D144" s="29"/>
      <c r="E144" s="29"/>
      <c r="F144" s="29"/>
    </row>
    <row r="145" spans="1:6" ht="15.5" hidden="1" customHeight="1">
      <c r="A145" s="29"/>
      <c r="B145" s="29"/>
      <c r="C145" s="29"/>
      <c r="D145" s="29"/>
      <c r="E145" s="29"/>
      <c r="F145" s="29"/>
    </row>
    <row r="146" spans="1:6" ht="15.5" hidden="1" customHeight="1">
      <c r="A146" s="29"/>
      <c r="B146" s="29"/>
      <c r="C146" s="29"/>
      <c r="D146" s="29"/>
      <c r="E146" s="29"/>
      <c r="F146" s="29"/>
    </row>
    <row r="147" spans="1:6" ht="15.5" hidden="1" customHeight="1">
      <c r="A147" s="29"/>
      <c r="B147" s="29"/>
      <c r="C147" s="29"/>
      <c r="D147" s="29"/>
      <c r="E147" s="29"/>
      <c r="F147" s="29"/>
    </row>
    <row r="148" spans="1:6" ht="15.5" hidden="1" customHeight="1">
      <c r="A148" s="29"/>
      <c r="B148" s="29"/>
      <c r="C148" s="29"/>
      <c r="D148" s="29"/>
      <c r="E148" s="29"/>
      <c r="F148" s="29"/>
    </row>
    <row r="149" spans="1:6" ht="15.5" hidden="1" customHeight="1">
      <c r="A149" s="29"/>
      <c r="B149" s="29"/>
      <c r="C149" s="29"/>
      <c r="D149" s="29"/>
      <c r="E149" s="29"/>
      <c r="F149" s="29"/>
    </row>
    <row r="150" spans="1:6" ht="15.5" hidden="1" customHeight="1">
      <c r="A150" s="29"/>
      <c r="B150" s="29"/>
      <c r="C150" s="29"/>
      <c r="D150" s="29"/>
      <c r="E150" s="29"/>
      <c r="F150" s="29"/>
    </row>
    <row r="151" spans="1:6" ht="15.5" hidden="1" customHeight="1">
      <c r="A151" s="29"/>
      <c r="B151" s="29"/>
      <c r="C151" s="29"/>
      <c r="D151" s="29"/>
      <c r="E151" s="29"/>
      <c r="F151" s="29"/>
    </row>
    <row r="152" spans="1:6" ht="15.5" hidden="1" customHeight="1">
      <c r="A152" s="29"/>
      <c r="B152" s="29"/>
      <c r="C152" s="29"/>
      <c r="D152" s="29"/>
      <c r="E152" s="29"/>
      <c r="F152" s="29"/>
    </row>
    <row r="153" spans="1:6" ht="15.5" hidden="1" customHeight="1">
      <c r="A153" s="29"/>
      <c r="B153" s="29"/>
      <c r="C153" s="29"/>
      <c r="D153" s="29"/>
      <c r="E153" s="29"/>
      <c r="F153" s="29"/>
    </row>
    <row r="154" spans="1:6" ht="15.5" hidden="1" customHeight="1">
      <c r="A154" s="29"/>
      <c r="B154" s="29"/>
      <c r="C154" s="29"/>
      <c r="D154" s="29"/>
      <c r="E154" s="29"/>
      <c r="F154" s="29"/>
    </row>
    <row r="155" spans="1:6" ht="15.5" hidden="1" customHeight="1">
      <c r="A155" s="29"/>
      <c r="B155" s="29"/>
      <c r="C155" s="29"/>
      <c r="D155" s="29"/>
      <c r="E155" s="29"/>
      <c r="F155" s="29"/>
    </row>
    <row r="156" spans="1:6" ht="15.5" hidden="1" customHeight="1">
      <c r="A156" s="29"/>
      <c r="B156" s="29"/>
      <c r="C156" s="29"/>
      <c r="D156" s="29"/>
      <c r="E156" s="29"/>
      <c r="F156" s="29"/>
    </row>
    <row r="157" spans="1:6" ht="15.5" hidden="1" customHeight="1">
      <c r="A157" s="29"/>
      <c r="B157" s="29"/>
      <c r="C157" s="29"/>
      <c r="D157" s="29"/>
      <c r="E157" s="29"/>
      <c r="F157" s="29"/>
    </row>
    <row r="158" spans="1:6" ht="15.5" hidden="1" customHeight="1">
      <c r="A158" s="29"/>
      <c r="B158" s="29"/>
      <c r="C158" s="29"/>
      <c r="D158" s="29"/>
      <c r="E158" s="29"/>
      <c r="F158" s="29"/>
    </row>
    <row r="159" spans="1:6" ht="15.5" hidden="1" customHeight="1">
      <c r="A159" s="29"/>
      <c r="B159" s="29"/>
      <c r="C159" s="29"/>
      <c r="D159" s="29"/>
      <c r="E159" s="29"/>
      <c r="F159" s="29"/>
    </row>
    <row r="160" spans="1:6" ht="15.5" hidden="1" customHeight="1">
      <c r="A160" s="29"/>
      <c r="B160" s="29"/>
      <c r="C160" s="29"/>
      <c r="D160" s="29"/>
      <c r="E160" s="29"/>
      <c r="F160" s="29"/>
    </row>
    <row r="161" spans="1:7" ht="15.5">
      <c r="A161" s="50" t="s">
        <v>74</v>
      </c>
      <c r="B161" s="51"/>
      <c r="C161" s="51"/>
      <c r="D161" s="51"/>
      <c r="E161" s="51"/>
      <c r="F161" s="23">
        <f>F22+F14</f>
        <v>96593600</v>
      </c>
      <c r="G161" s="1">
        <f>F161/14</f>
        <v>6899542.8571428573</v>
      </c>
    </row>
    <row r="162" spans="1:7">
      <c r="D162" s="71"/>
    </row>
    <row r="164" spans="1:7">
      <c r="F164" s="73">
        <f>F7+F14+F22</f>
        <v>175793600</v>
      </c>
    </row>
  </sheetData>
  <mergeCells count="7">
    <mergeCell ref="A16:F16"/>
    <mergeCell ref="A1:F1"/>
    <mergeCell ref="A2:F2"/>
    <mergeCell ref="A4:F4"/>
    <mergeCell ref="A7:E7"/>
    <mergeCell ref="A8:F8"/>
    <mergeCell ref="A14:E14"/>
  </mergeCells>
  <pageMargins left="0.70866141732283472" right="0.70866141732283472" top="0.74803149606299213" bottom="0.74803149606299213" header="0.31496062992125984" footer="0.31496062992125984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25"/>
  <sheetViews>
    <sheetView topLeftCell="G1" workbookViewId="0">
      <selection activeCell="P10" sqref="P10"/>
    </sheetView>
  </sheetViews>
  <sheetFormatPr defaultColWidth="8.81640625" defaultRowHeight="14.5"/>
  <cols>
    <col min="4" max="4" width="8.81640625" customWidth="1"/>
    <col min="17" max="17" width="10.453125" bestFit="1" customWidth="1"/>
  </cols>
  <sheetData>
    <row r="2" spans="2:20">
      <c r="D2" t="s">
        <v>69</v>
      </c>
      <c r="F2" s="71">
        <f>E5+C12+C18+A22+F25+G12+I18+N22+O21+R18+V21+R25+O8+Q2+T8+Q14</f>
        <v>1968</v>
      </c>
      <c r="Q2" s="71">
        <f>161/3</f>
        <v>53.666666666666664</v>
      </c>
    </row>
    <row r="3" spans="2:20">
      <c r="P3" s="72"/>
      <c r="Q3" s="72"/>
      <c r="R3" s="72"/>
      <c r="S3" s="72"/>
    </row>
    <row r="4" spans="2:20">
      <c r="E4" t="s">
        <v>70</v>
      </c>
      <c r="P4" s="72"/>
      <c r="S4" s="72"/>
    </row>
    <row r="5" spans="2:20">
      <c r="E5">
        <f>93/3</f>
        <v>31</v>
      </c>
      <c r="P5" s="72"/>
      <c r="S5" s="72"/>
    </row>
    <row r="6" spans="2:20">
      <c r="D6" s="72"/>
      <c r="E6" s="72"/>
      <c r="F6" s="72"/>
      <c r="P6" s="72"/>
      <c r="S6" s="72"/>
    </row>
    <row r="7" spans="2:20">
      <c r="D7" s="72"/>
      <c r="F7" s="72"/>
      <c r="P7" s="72"/>
      <c r="S7" s="72"/>
    </row>
    <row r="8" spans="2:20">
      <c r="D8" s="72"/>
      <c r="F8" s="72"/>
      <c r="O8">
        <f>295</f>
        <v>295</v>
      </c>
      <c r="P8" s="72"/>
      <c r="S8" s="72"/>
      <c r="T8">
        <v>295</v>
      </c>
    </row>
    <row r="9" spans="2:20">
      <c r="D9" s="72"/>
      <c r="F9" s="72"/>
      <c r="P9" s="72"/>
      <c r="S9" s="72"/>
    </row>
    <row r="10" spans="2:20">
      <c r="D10" s="72"/>
      <c r="F10" s="72"/>
      <c r="P10" s="72"/>
      <c r="S10" s="72"/>
    </row>
    <row r="11" spans="2:20">
      <c r="B11" t="s">
        <v>71</v>
      </c>
      <c r="D11" s="72"/>
      <c r="F11" s="72"/>
      <c r="P11" s="72"/>
      <c r="S11" s="72"/>
    </row>
    <row r="12" spans="2:20">
      <c r="C12">
        <v>291</v>
      </c>
      <c r="D12" s="72"/>
      <c r="F12" s="72"/>
      <c r="G12">
        <v>291</v>
      </c>
      <c r="P12" s="72"/>
      <c r="S12" s="72"/>
    </row>
    <row r="13" spans="2:20">
      <c r="D13" s="72"/>
      <c r="F13" s="72"/>
      <c r="P13" s="72"/>
      <c r="Q13" s="72"/>
      <c r="R13" s="72"/>
      <c r="S13" s="72"/>
    </row>
    <row r="14" spans="2:20">
      <c r="D14" s="72"/>
      <c r="F14" s="72"/>
      <c r="Q14" s="71">
        <f>161/3</f>
        <v>53.666666666666664</v>
      </c>
    </row>
    <row r="15" spans="2:20">
      <c r="D15" s="72"/>
      <c r="F15" s="72"/>
    </row>
    <row r="16" spans="2:20">
      <c r="D16" s="72"/>
      <c r="F16" s="72"/>
    </row>
    <row r="17" spans="1:22">
      <c r="D17" s="72"/>
      <c r="F17" s="72"/>
    </row>
    <row r="18" spans="1:22">
      <c r="C18" s="71">
        <f>46/3</f>
        <v>15.333333333333334</v>
      </c>
      <c r="D18" s="72"/>
      <c r="F18" s="72"/>
      <c r="I18" s="71">
        <f>131/3</f>
        <v>43.666666666666664</v>
      </c>
      <c r="R18" s="71">
        <f>220/3</f>
        <v>73.333333333333329</v>
      </c>
    </row>
    <row r="19" spans="1:22">
      <c r="B19" s="72"/>
      <c r="C19" s="72"/>
      <c r="D19" s="72"/>
      <c r="F19" s="72"/>
      <c r="G19" s="72"/>
      <c r="H19" s="72"/>
      <c r="I19" s="72"/>
      <c r="J19" s="72"/>
      <c r="K19" s="72"/>
      <c r="L19" s="72"/>
      <c r="M19" s="72"/>
      <c r="P19" s="72"/>
      <c r="Q19" s="72"/>
      <c r="R19" s="72"/>
      <c r="S19" s="72"/>
      <c r="T19" s="72"/>
      <c r="U19" s="72"/>
    </row>
    <row r="20" spans="1:22">
      <c r="B20" s="72"/>
      <c r="M20" s="72"/>
      <c r="P20" s="72"/>
      <c r="U20" s="72"/>
    </row>
    <row r="21" spans="1:22">
      <c r="B21" s="72"/>
      <c r="M21" s="72"/>
      <c r="O21">
        <v>102</v>
      </c>
      <c r="P21" s="72"/>
      <c r="U21" s="72"/>
      <c r="V21">
        <v>102</v>
      </c>
    </row>
    <row r="22" spans="1:22">
      <c r="A22">
        <v>79</v>
      </c>
      <c r="B22" s="72"/>
      <c r="M22" s="72"/>
      <c r="N22">
        <v>79</v>
      </c>
      <c r="P22" s="72"/>
      <c r="U22" s="72"/>
    </row>
    <row r="23" spans="1:22">
      <c r="B23" s="72"/>
      <c r="M23" s="72"/>
      <c r="P23" s="72"/>
      <c r="U23" s="72"/>
    </row>
    <row r="24" spans="1:22"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P24" s="72"/>
      <c r="Q24" s="72"/>
      <c r="R24" s="72"/>
      <c r="S24" s="72"/>
      <c r="T24" s="72"/>
      <c r="U24" s="72"/>
    </row>
    <row r="25" spans="1:22">
      <c r="F25">
        <f>270/3</f>
        <v>90</v>
      </c>
      <c r="R25" s="71">
        <f>220/3</f>
        <v>73.333333333333329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G17"/>
  <sheetViews>
    <sheetView workbookViewId="0">
      <selection activeCell="F6" sqref="F6"/>
    </sheetView>
  </sheetViews>
  <sheetFormatPr defaultColWidth="8.81640625" defaultRowHeight="14.5"/>
  <cols>
    <col min="1" max="1" width="2" customWidth="1"/>
    <col min="2" max="2" width="51.36328125" customWidth="1"/>
    <col min="3" max="3" width="11.6328125" customWidth="1"/>
    <col min="5" max="5" width="20.1796875" bestFit="1" customWidth="1"/>
    <col min="6" max="6" width="18.453125" bestFit="1" customWidth="1"/>
    <col min="7" max="7" width="29.6328125" customWidth="1"/>
  </cols>
  <sheetData>
    <row r="3" spans="2:7">
      <c r="B3" s="203" t="s">
        <v>44</v>
      </c>
      <c r="C3" s="204"/>
      <c r="D3" s="204"/>
      <c r="E3" s="204"/>
      <c r="F3" s="205"/>
    </row>
    <row r="4" spans="2:7">
      <c r="B4" s="63" t="s">
        <v>41</v>
      </c>
      <c r="C4" s="63" t="s">
        <v>6</v>
      </c>
      <c r="D4" s="63" t="s">
        <v>5</v>
      </c>
      <c r="E4" s="63" t="s">
        <v>39</v>
      </c>
      <c r="F4" s="63" t="s">
        <v>10</v>
      </c>
      <c r="G4" s="63" t="s">
        <v>47</v>
      </c>
    </row>
    <row r="5" spans="2:7">
      <c r="B5" s="206" t="s">
        <v>46</v>
      </c>
      <c r="C5" s="207"/>
      <c r="D5" s="207"/>
      <c r="E5" s="207"/>
      <c r="F5" s="208"/>
      <c r="G5" s="61"/>
    </row>
    <row r="6" spans="2:7">
      <c r="B6" s="61" t="s">
        <v>45</v>
      </c>
      <c r="C6" s="108">
        <v>30000</v>
      </c>
      <c r="D6" s="61" t="s">
        <v>9</v>
      </c>
      <c r="E6" s="62">
        <v>5000000</v>
      </c>
      <c r="F6" s="62">
        <f>E6/C6</f>
        <v>166.66666666666666</v>
      </c>
      <c r="G6" s="61" t="s">
        <v>48</v>
      </c>
    </row>
    <row r="7" spans="2:7">
      <c r="B7" s="206" t="s">
        <v>42</v>
      </c>
      <c r="C7" s="207"/>
      <c r="D7" s="207"/>
      <c r="E7" s="207"/>
      <c r="F7" s="208"/>
      <c r="G7" s="61"/>
    </row>
    <row r="8" spans="2:7">
      <c r="B8" s="61" t="s">
        <v>49</v>
      </c>
      <c r="C8" s="61">
        <v>1</v>
      </c>
      <c r="D8" s="61" t="s">
        <v>9</v>
      </c>
      <c r="E8" s="62">
        <v>7000</v>
      </c>
      <c r="F8" s="62">
        <f>E8*C8</f>
        <v>7000</v>
      </c>
      <c r="G8" s="61"/>
    </row>
    <row r="9" spans="2:7">
      <c r="B9" s="209" t="s">
        <v>36</v>
      </c>
      <c r="C9" s="210"/>
      <c r="D9" s="210"/>
      <c r="E9" s="211"/>
      <c r="F9" s="62">
        <f>SUM(F5:F8)</f>
        <v>7166.666666666667</v>
      </c>
      <c r="G9" s="61"/>
    </row>
    <row r="15" spans="2:7">
      <c r="B15" s="109" t="s">
        <v>145</v>
      </c>
    </row>
    <row r="16" spans="2:7">
      <c r="B16" s="109" t="s">
        <v>148</v>
      </c>
    </row>
    <row r="17" spans="2:2">
      <c r="B17" s="109" t="s">
        <v>144</v>
      </c>
    </row>
  </sheetData>
  <mergeCells count="4">
    <mergeCell ref="B3:F3"/>
    <mergeCell ref="B5:F5"/>
    <mergeCell ref="B7:F7"/>
    <mergeCell ref="B9:E9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F31"/>
  <sheetViews>
    <sheetView topLeftCell="A18" workbookViewId="0">
      <selection activeCell="C30" sqref="C30"/>
    </sheetView>
  </sheetViews>
  <sheetFormatPr defaultColWidth="8.81640625" defaultRowHeight="14.5"/>
  <cols>
    <col min="1" max="1" width="2.81640625" customWidth="1"/>
    <col min="2" max="2" width="32.453125" bestFit="1" customWidth="1"/>
    <col min="3" max="3" width="10.1796875" customWidth="1"/>
    <col min="5" max="5" width="20.1796875" bestFit="1" customWidth="1"/>
    <col min="6" max="6" width="17.453125" bestFit="1" customWidth="1"/>
  </cols>
  <sheetData>
    <row r="3" spans="2:6">
      <c r="B3" s="203" t="s">
        <v>43</v>
      </c>
      <c r="C3" s="204"/>
      <c r="D3" s="204"/>
      <c r="E3" s="204"/>
      <c r="F3" s="205"/>
    </row>
    <row r="4" spans="2:6">
      <c r="B4" s="63" t="s">
        <v>41</v>
      </c>
      <c r="C4" s="63" t="s">
        <v>38</v>
      </c>
      <c r="D4" s="63" t="s">
        <v>5</v>
      </c>
      <c r="E4" s="63" t="s">
        <v>39</v>
      </c>
      <c r="F4" s="63" t="s">
        <v>8</v>
      </c>
    </row>
    <row r="5" spans="2:6">
      <c r="B5" s="206" t="s">
        <v>40</v>
      </c>
      <c r="C5" s="207"/>
      <c r="D5" s="207"/>
      <c r="E5" s="207"/>
      <c r="F5" s="208"/>
    </row>
    <row r="6" spans="2:6">
      <c r="B6" s="61" t="s">
        <v>35</v>
      </c>
      <c r="C6" s="61">
        <f>1/1000</f>
        <v>1E-3</v>
      </c>
      <c r="D6" s="61" t="s">
        <v>34</v>
      </c>
      <c r="E6" s="62">
        <v>100000</v>
      </c>
      <c r="F6" s="62">
        <f>E6*C6</f>
        <v>100</v>
      </c>
    </row>
    <row r="7" spans="2:6">
      <c r="B7" s="206" t="s">
        <v>42</v>
      </c>
      <c r="C7" s="207"/>
      <c r="D7" s="207"/>
      <c r="E7" s="207"/>
      <c r="F7" s="208"/>
    </row>
    <row r="8" spans="2:6">
      <c r="B8" s="61" t="s">
        <v>132</v>
      </c>
      <c r="C8" s="61">
        <f>1/36</f>
        <v>2.7777777777777776E-2</v>
      </c>
      <c r="D8" s="61" t="s">
        <v>9</v>
      </c>
      <c r="E8" s="62">
        <v>20000</v>
      </c>
      <c r="F8" s="62">
        <f>E8*C8</f>
        <v>555.55555555555554</v>
      </c>
    </row>
    <row r="9" spans="2:6">
      <c r="B9" s="61" t="s">
        <v>37</v>
      </c>
      <c r="C9" s="61">
        <f>1/2000</f>
        <v>5.0000000000000001E-4</v>
      </c>
      <c r="D9" s="61" t="s">
        <v>9</v>
      </c>
      <c r="E9" s="62">
        <v>70000</v>
      </c>
      <c r="F9" s="62">
        <f>E9*C9</f>
        <v>35</v>
      </c>
    </row>
    <row r="10" spans="2:6">
      <c r="B10" s="212" t="s">
        <v>10</v>
      </c>
      <c r="C10" s="212"/>
      <c r="D10" s="212"/>
      <c r="E10" s="212"/>
      <c r="F10" s="62">
        <f>SUM(F5:F9)</f>
        <v>690.55555555555554</v>
      </c>
    </row>
    <row r="11" spans="2:6">
      <c r="B11" s="212" t="s">
        <v>56</v>
      </c>
      <c r="C11" s="212"/>
      <c r="D11" s="212"/>
      <c r="E11" s="212"/>
      <c r="F11" s="62">
        <f>F10*1.5%</f>
        <v>10.358333333333333</v>
      </c>
    </row>
    <row r="12" spans="2:6">
      <c r="B12" s="212" t="s">
        <v>32</v>
      </c>
      <c r="C12" s="212"/>
      <c r="D12" s="212"/>
      <c r="E12" s="212"/>
      <c r="F12" s="62">
        <f>F11+F10</f>
        <v>700.91388888888889</v>
      </c>
    </row>
    <row r="15" spans="2:6">
      <c r="B15" s="203" t="s">
        <v>133</v>
      </c>
      <c r="C15" s="204"/>
      <c r="D15" s="204"/>
      <c r="E15" s="204"/>
      <c r="F15" s="205"/>
    </row>
    <row r="16" spans="2:6">
      <c r="B16" s="63" t="s">
        <v>41</v>
      </c>
      <c r="C16" s="63" t="s">
        <v>38</v>
      </c>
      <c r="D16" s="63" t="s">
        <v>5</v>
      </c>
      <c r="E16" s="63" t="s">
        <v>39</v>
      </c>
      <c r="F16" s="63" t="s">
        <v>8</v>
      </c>
    </row>
    <row r="17" spans="2:6">
      <c r="B17" s="206" t="s">
        <v>40</v>
      </c>
      <c r="C17" s="207"/>
      <c r="D17" s="207"/>
      <c r="E17" s="207"/>
      <c r="F17" s="208"/>
    </row>
    <row r="18" spans="2:6">
      <c r="B18" s="61" t="s">
        <v>35</v>
      </c>
      <c r="C18" s="61">
        <f>1/2000</f>
        <v>5.0000000000000001E-4</v>
      </c>
      <c r="D18" s="61" t="s">
        <v>34</v>
      </c>
      <c r="E18" s="62">
        <v>100000</v>
      </c>
      <c r="F18" s="62">
        <f>E18*C18</f>
        <v>50</v>
      </c>
    </row>
    <row r="19" spans="2:6">
      <c r="B19" s="206" t="s">
        <v>42</v>
      </c>
      <c r="C19" s="207"/>
      <c r="D19" s="207"/>
      <c r="E19" s="207"/>
      <c r="F19" s="208"/>
    </row>
    <row r="20" spans="2:6">
      <c r="B20" s="61" t="s">
        <v>134</v>
      </c>
      <c r="C20" s="61">
        <f>1/3</f>
        <v>0.33333333333333331</v>
      </c>
      <c r="D20" s="61" t="s">
        <v>9</v>
      </c>
      <c r="E20" s="62">
        <v>20000</v>
      </c>
      <c r="F20" s="62">
        <f>E20*C20</f>
        <v>6666.6666666666661</v>
      </c>
    </row>
    <row r="21" spans="2:6">
      <c r="B21" s="61" t="s">
        <v>37</v>
      </c>
      <c r="C21" s="61">
        <f>1/500</f>
        <v>2E-3</v>
      </c>
      <c r="D21" s="61" t="s">
        <v>9</v>
      </c>
      <c r="E21" s="62">
        <v>70000</v>
      </c>
      <c r="F21" s="62">
        <f>E21*C21</f>
        <v>140</v>
      </c>
    </row>
    <row r="22" spans="2:6">
      <c r="B22" s="209" t="s">
        <v>10</v>
      </c>
      <c r="C22" s="210"/>
      <c r="D22" s="210"/>
      <c r="E22" s="211"/>
      <c r="F22" s="62">
        <f>SUM(F17:F21)</f>
        <v>6856.6666666666661</v>
      </c>
    </row>
    <row r="23" spans="2:6">
      <c r="B23" s="212" t="s">
        <v>56</v>
      </c>
      <c r="C23" s="212"/>
      <c r="D23" s="212"/>
      <c r="E23" s="212"/>
      <c r="F23" s="62">
        <f>F22*1.5%</f>
        <v>102.84999999999998</v>
      </c>
    </row>
    <row r="24" spans="2:6">
      <c r="B24" s="212" t="s">
        <v>32</v>
      </c>
      <c r="C24" s="212"/>
      <c r="D24" s="212"/>
      <c r="E24" s="212"/>
      <c r="F24" s="62">
        <f>F23+F22</f>
        <v>6959.5166666666664</v>
      </c>
    </row>
    <row r="27" spans="2:6">
      <c r="B27" s="203" t="s">
        <v>50</v>
      </c>
      <c r="C27" s="204"/>
      <c r="D27" s="204"/>
      <c r="E27" s="204"/>
      <c r="F27" s="205"/>
    </row>
    <row r="28" spans="2:6">
      <c r="B28" s="63" t="s">
        <v>41</v>
      </c>
      <c r="C28" s="63" t="s">
        <v>38</v>
      </c>
      <c r="D28" s="63" t="s">
        <v>5</v>
      </c>
      <c r="E28" s="63" t="s">
        <v>52</v>
      </c>
      <c r="F28" s="63" t="s">
        <v>10</v>
      </c>
    </row>
    <row r="29" spans="2:6">
      <c r="B29" s="206" t="s">
        <v>42</v>
      </c>
      <c r="C29" s="207"/>
      <c r="D29" s="207"/>
      <c r="E29" s="207"/>
      <c r="F29" s="208"/>
    </row>
    <row r="30" spans="2:6">
      <c r="B30" s="61" t="s">
        <v>51</v>
      </c>
      <c r="C30" s="61">
        <f>1/5000</f>
        <v>2.0000000000000001E-4</v>
      </c>
      <c r="D30" s="61" t="s">
        <v>9</v>
      </c>
      <c r="E30" s="65">
        <v>30000</v>
      </c>
      <c r="F30" s="75">
        <f>E30*C30</f>
        <v>6</v>
      </c>
    </row>
    <row r="31" spans="2:6">
      <c r="B31" s="209" t="s">
        <v>36</v>
      </c>
      <c r="C31" s="210"/>
      <c r="D31" s="210"/>
      <c r="E31" s="211"/>
      <c r="F31" s="61">
        <f>SUM(F29:F30)</f>
        <v>6</v>
      </c>
    </row>
  </sheetData>
  <mergeCells count="15">
    <mergeCell ref="B31:E31"/>
    <mergeCell ref="B27:F27"/>
    <mergeCell ref="B29:F29"/>
    <mergeCell ref="B24:E24"/>
    <mergeCell ref="B15:F15"/>
    <mergeCell ref="B17:F17"/>
    <mergeCell ref="B19:F19"/>
    <mergeCell ref="B22:E22"/>
    <mergeCell ref="B23:E23"/>
    <mergeCell ref="B12:E12"/>
    <mergeCell ref="B3:F3"/>
    <mergeCell ref="B5:F5"/>
    <mergeCell ref="B7:F7"/>
    <mergeCell ref="B10:E10"/>
    <mergeCell ref="B11:E1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844F8-2D11-49F7-955D-3112AAF43A3D}">
  <dimension ref="A1"/>
  <sheetViews>
    <sheetView workbookViewId="0">
      <selection activeCell="J53" sqref="J53"/>
    </sheetView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5A16-0944-48D3-BEA2-AE3475976005}">
  <dimension ref="B4:Z8"/>
  <sheetViews>
    <sheetView topLeftCell="C1" workbookViewId="0">
      <selection activeCell="F8" sqref="F8"/>
    </sheetView>
  </sheetViews>
  <sheetFormatPr defaultColWidth="8.81640625" defaultRowHeight="21" customHeight="1"/>
  <cols>
    <col min="1" max="1" width="4.54296875" style="110" customWidth="1"/>
    <col min="2" max="2" width="5.81640625" style="110" customWidth="1"/>
    <col min="3" max="3" width="31.81640625" style="110" customWidth="1"/>
    <col min="4" max="4" width="5.81640625" style="110" customWidth="1"/>
    <col min="5" max="6" width="7.81640625" style="110" customWidth="1"/>
    <col min="7" max="26" width="3.81640625" style="110" customWidth="1"/>
    <col min="27" max="16384" width="8.81640625" style="110"/>
  </cols>
  <sheetData>
    <row r="4" spans="2:26" ht="15.5">
      <c r="B4" s="213" t="s">
        <v>3</v>
      </c>
      <c r="C4" s="213" t="s">
        <v>4</v>
      </c>
      <c r="D4" s="213" t="s">
        <v>60</v>
      </c>
      <c r="E4" s="213" t="s">
        <v>59</v>
      </c>
      <c r="F4" s="213" t="s">
        <v>19</v>
      </c>
      <c r="G4" s="213" t="s">
        <v>135</v>
      </c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  <c r="Z4" s="213"/>
    </row>
    <row r="5" spans="2:26" ht="15.5">
      <c r="B5" s="213"/>
      <c r="C5" s="213"/>
      <c r="D5" s="213"/>
      <c r="E5" s="213"/>
      <c r="F5" s="213"/>
      <c r="G5" s="25">
        <v>1</v>
      </c>
      <c r="H5" s="25">
        <v>2</v>
      </c>
      <c r="I5" s="25">
        <v>3</v>
      </c>
      <c r="J5" s="25">
        <v>4</v>
      </c>
      <c r="K5" s="25">
        <v>5</v>
      </c>
      <c r="L5" s="25">
        <v>6</v>
      </c>
      <c r="M5" s="25">
        <v>7</v>
      </c>
      <c r="N5" s="25">
        <v>8</v>
      </c>
      <c r="O5" s="25">
        <v>9</v>
      </c>
      <c r="P5" s="25">
        <v>10</v>
      </c>
      <c r="Q5" s="25">
        <v>11</v>
      </c>
      <c r="R5" s="25">
        <v>12</v>
      </c>
      <c r="S5" s="25">
        <v>13</v>
      </c>
      <c r="T5" s="25">
        <v>14</v>
      </c>
      <c r="U5" s="25">
        <v>15</v>
      </c>
      <c r="V5" s="25">
        <v>16</v>
      </c>
      <c r="W5" s="25">
        <v>17</v>
      </c>
      <c r="X5" s="25">
        <v>18</v>
      </c>
      <c r="Y5" s="25">
        <v>19</v>
      </c>
      <c r="Z5" s="25">
        <v>20</v>
      </c>
    </row>
    <row r="6" spans="2:26" ht="15.5">
      <c r="B6" s="25">
        <v>1</v>
      </c>
      <c r="C6" s="111" t="s">
        <v>136</v>
      </c>
      <c r="D6" s="25">
        <v>5</v>
      </c>
      <c r="E6" s="25">
        <v>15</v>
      </c>
      <c r="F6" s="25">
        <v>150</v>
      </c>
      <c r="G6" s="112"/>
      <c r="H6" s="112"/>
      <c r="I6" s="112"/>
      <c r="J6" s="112"/>
      <c r="K6" s="112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2:26" ht="15.5">
      <c r="B7" s="25">
        <v>2</v>
      </c>
      <c r="C7" s="111" t="s">
        <v>55</v>
      </c>
      <c r="D7" s="25">
        <v>5</v>
      </c>
      <c r="E7" s="25">
        <v>50</v>
      </c>
      <c r="F7" s="25">
        <v>200</v>
      </c>
      <c r="G7" s="111"/>
      <c r="H7" s="111"/>
      <c r="I7" s="111"/>
      <c r="J7" s="113"/>
      <c r="K7" s="113"/>
      <c r="L7" s="112"/>
      <c r="M7" s="112"/>
      <c r="N7" s="112"/>
      <c r="O7" s="112"/>
      <c r="P7" s="112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2:26" ht="15.5">
      <c r="B8" s="25">
        <v>3</v>
      </c>
      <c r="C8" s="111" t="s">
        <v>61</v>
      </c>
      <c r="D8" s="25">
        <v>10</v>
      </c>
      <c r="E8" s="25">
        <v>50</v>
      </c>
      <c r="F8" s="25">
        <v>400</v>
      </c>
      <c r="G8" s="111"/>
      <c r="H8" s="111"/>
      <c r="I8" s="111"/>
      <c r="J8" s="111"/>
      <c r="K8" s="111"/>
      <c r="L8" s="111"/>
      <c r="M8" s="111"/>
      <c r="N8" s="113"/>
      <c r="O8" s="113"/>
      <c r="P8" s="113"/>
      <c r="Q8" s="112"/>
      <c r="R8" s="112"/>
      <c r="S8" s="112"/>
      <c r="T8" s="112"/>
      <c r="U8" s="112"/>
      <c r="V8" s="112"/>
      <c r="W8" s="112"/>
      <c r="X8" s="112"/>
      <c r="Y8" s="112"/>
      <c r="Z8" s="112"/>
    </row>
  </sheetData>
  <mergeCells count="6">
    <mergeCell ref="G4:Z4"/>
    <mergeCell ref="B4:B5"/>
    <mergeCell ref="C4:C5"/>
    <mergeCell ref="D4:D5"/>
    <mergeCell ref="E4:E5"/>
    <mergeCell ref="F4:F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15"/>
  <sheetViews>
    <sheetView workbookViewId="0">
      <selection activeCell="I10" sqref="I10"/>
    </sheetView>
  </sheetViews>
  <sheetFormatPr defaultColWidth="10.90625" defaultRowHeight="15.5"/>
  <cols>
    <col min="1" max="1" width="3.08984375" style="100" customWidth="1"/>
    <col min="2" max="2" width="5.1796875" style="100" customWidth="1"/>
    <col min="3" max="3" width="27" style="100" customWidth="1"/>
    <col min="4" max="4" width="13.36328125" style="100" customWidth="1"/>
    <col min="5" max="5" width="12.90625" style="100" customWidth="1"/>
    <col min="6" max="6" width="22.6328125" style="100" customWidth="1"/>
    <col min="7" max="7" width="16.81640625" style="117" customWidth="1"/>
    <col min="8" max="8" width="10.90625" style="142"/>
    <col min="9" max="9" width="12" style="100" bestFit="1" customWidth="1"/>
    <col min="10" max="16384" width="10.90625" style="100"/>
  </cols>
  <sheetData>
    <row r="2" spans="2:8">
      <c r="B2" s="214" t="s">
        <v>99</v>
      </c>
      <c r="C2" s="214"/>
      <c r="D2" s="99"/>
    </row>
    <row r="3" spans="2:8">
      <c r="C3" s="100">
        <v>30000</v>
      </c>
      <c r="D3" s="100" t="s">
        <v>9</v>
      </c>
      <c r="E3" s="100">
        <v>25000</v>
      </c>
    </row>
    <row r="4" spans="2:8" ht="31">
      <c r="B4" s="116" t="s">
        <v>97</v>
      </c>
      <c r="C4" s="116" t="s">
        <v>96</v>
      </c>
      <c r="D4" s="115" t="s">
        <v>137</v>
      </c>
      <c r="E4" s="116" t="s">
        <v>10</v>
      </c>
      <c r="F4" s="116" t="s">
        <v>5</v>
      </c>
      <c r="G4" s="118" t="s">
        <v>139</v>
      </c>
    </row>
    <row r="5" spans="2:8">
      <c r="B5" s="101">
        <v>1</v>
      </c>
      <c r="C5" s="102" t="s">
        <v>95</v>
      </c>
      <c r="D5" s="101">
        <v>40</v>
      </c>
      <c r="E5" s="101">
        <v>350</v>
      </c>
      <c r="F5" s="114" t="s">
        <v>138</v>
      </c>
      <c r="G5" s="119">
        <f>(C3/E5)/D5</f>
        <v>2.1428571428571428</v>
      </c>
      <c r="H5" s="142">
        <f>(E3/E5)/D5</f>
        <v>1.7857142857142858</v>
      </c>
    </row>
    <row r="6" spans="2:8">
      <c r="B6" s="101">
        <v>2</v>
      </c>
      <c r="C6" s="102" t="s">
        <v>98</v>
      </c>
      <c r="D6" s="101">
        <v>40</v>
      </c>
      <c r="E6" s="101">
        <v>175</v>
      </c>
      <c r="F6" s="114" t="s">
        <v>138</v>
      </c>
      <c r="G6" s="119">
        <f>(C3/E6)/D6</f>
        <v>4.2857142857142856</v>
      </c>
      <c r="H6" s="142">
        <f>(E3/E6)/D6</f>
        <v>3.5714285714285716</v>
      </c>
    </row>
    <row r="7" spans="2:8">
      <c r="B7" s="101">
        <v>3</v>
      </c>
      <c r="C7" s="102"/>
      <c r="D7" s="102"/>
      <c r="E7" s="102"/>
      <c r="F7" s="102"/>
      <c r="G7" s="119"/>
    </row>
    <row r="8" spans="2:8">
      <c r="B8" s="101">
        <v>4</v>
      </c>
      <c r="C8" s="102"/>
      <c r="D8" s="102"/>
      <c r="E8" s="102"/>
      <c r="F8" s="102"/>
      <c r="G8" s="119"/>
    </row>
    <row r="9" spans="2:8">
      <c r="B9" s="101">
        <v>5</v>
      </c>
      <c r="C9" s="102"/>
      <c r="D9" s="102"/>
      <c r="E9" s="102"/>
      <c r="F9" s="102"/>
      <c r="G9" s="119"/>
    </row>
    <row r="10" spans="2:8">
      <c r="B10" s="101">
        <v>6</v>
      </c>
      <c r="C10" s="102"/>
      <c r="D10" s="102"/>
      <c r="E10" s="102"/>
      <c r="F10" s="102"/>
      <c r="G10" s="119"/>
    </row>
    <row r="11" spans="2:8">
      <c r="B11" s="101">
        <v>7</v>
      </c>
      <c r="C11" s="102"/>
      <c r="D11" s="102"/>
      <c r="E11" s="102"/>
      <c r="F11" s="102"/>
      <c r="G11" s="119"/>
    </row>
    <row r="12" spans="2:8">
      <c r="B12" s="101">
        <v>8</v>
      </c>
      <c r="C12" s="102"/>
      <c r="D12" s="102"/>
      <c r="E12" s="102"/>
      <c r="F12" s="102"/>
      <c r="G12" s="119"/>
    </row>
    <row r="13" spans="2:8">
      <c r="B13" s="101">
        <v>9</v>
      </c>
      <c r="C13" s="102"/>
      <c r="D13" s="102"/>
      <c r="E13" s="102"/>
      <c r="F13" s="102"/>
      <c r="G13" s="119"/>
    </row>
    <row r="14" spans="2:8">
      <c r="B14" s="101">
        <v>10</v>
      </c>
      <c r="C14" s="102"/>
      <c r="D14" s="102"/>
      <c r="E14" s="102"/>
      <c r="F14" s="102"/>
      <c r="G14" s="119"/>
    </row>
    <row r="15" spans="2:8">
      <c r="B15" s="102"/>
      <c r="C15" s="102"/>
      <c r="D15" s="102"/>
      <c r="E15" s="102"/>
      <c r="F15" s="102"/>
      <c r="G15" s="119"/>
    </row>
  </sheetData>
  <mergeCells count="1">
    <mergeCell ref="B2:C2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RAB 0,5x1_Lst</vt:lpstr>
      <vt:lpstr>Cek BAST KPB</vt:lpstr>
      <vt:lpstr>RAB 0,5x1 (2)</vt:lpstr>
      <vt:lpstr> RAB 0,5x1 Awal</vt:lpstr>
      <vt:lpstr>Luasan Area Rehab</vt:lpstr>
      <vt:lpstr>RAB 0,5x1 Awl</vt:lpstr>
      <vt:lpstr>RAB 3x1 tanpa pajak</vt:lpstr>
      <vt:lpstr>Desain Pennmn</vt:lpstr>
      <vt:lpstr>AHS Bibit</vt:lpstr>
      <vt:lpstr>AHS Sarpras</vt:lpstr>
      <vt:lpstr>AHS Pekerjaan</vt:lpstr>
      <vt:lpstr>Waktu Pelaksanaan</vt:lpstr>
      <vt:lpstr>Satuan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Putra Malik Akbar</dc:creator>
  <cp:lastModifiedBy>Sub Koord Pencemaran Restorasi</cp:lastModifiedBy>
  <cp:lastPrinted>2026-01-08T05:16:05Z</cp:lastPrinted>
  <dcterms:created xsi:type="dcterms:W3CDTF">2021-06-04T04:20:23Z</dcterms:created>
  <dcterms:modified xsi:type="dcterms:W3CDTF">2026-01-12T13:25:26Z</dcterms:modified>
</cp:coreProperties>
</file>