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01. DATA RIZAL\Rizal_2024\Kegiatan 2024\3. Penyulaman\b. Penyulaman Kota Pasuruan_Jatim\"/>
    </mc:Choice>
  </mc:AlternateContent>
  <xr:revisionPtr revIDLastSave="0" documentId="13_ncr:1_{9A689921-3964-4A2F-AEB5-960F87C5E8FE}" xr6:coauthVersionLast="47" xr6:coauthVersionMax="47" xr10:uidLastSave="{00000000-0000-0000-0000-000000000000}"/>
  <bookViews>
    <workbookView xWindow="-50" yWindow="0" windowWidth="13400" windowHeight="10750" xr2:uid="{00000000-000D-0000-FFFF-FFFF00000000}"/>
  </bookViews>
  <sheets>
    <sheet name="Sheet1 (2)" sheetId="2" r:id="rId1"/>
    <sheet name="Sheet1" sheetId="1" r:id="rId2"/>
    <sheet name="Sheet2" sheetId="3" r:id="rId3"/>
  </sheets>
  <calcPr calcId="191029"/>
</workbook>
</file>

<file path=xl/calcChain.xml><?xml version="1.0" encoding="utf-8"?>
<calcChain xmlns="http://schemas.openxmlformats.org/spreadsheetml/2006/main">
  <c r="I21" i="2" l="1"/>
  <c r="T9" i="1"/>
  <c r="R9" i="1"/>
  <c r="P9" i="1"/>
  <c r="F24" i="1"/>
  <c r="F23" i="1"/>
  <c r="F22" i="1"/>
  <c r="F21" i="1"/>
  <c r="F20" i="1"/>
  <c r="T17" i="1"/>
  <c r="R17" i="1"/>
  <c r="Q17" i="1"/>
  <c r="P17" i="1"/>
  <c r="O17" i="1"/>
  <c r="F17" i="1"/>
  <c r="T16" i="1"/>
  <c r="R16" i="1"/>
  <c r="Q16" i="1"/>
  <c r="P16" i="1"/>
  <c r="O16" i="1"/>
  <c r="F16" i="1"/>
  <c r="T15" i="1"/>
  <c r="R15" i="1"/>
  <c r="Q15" i="1"/>
  <c r="P15" i="1"/>
  <c r="O15" i="1"/>
  <c r="F15" i="1"/>
  <c r="T14" i="1"/>
  <c r="R14" i="1"/>
  <c r="Q14" i="1"/>
  <c r="P14" i="1"/>
  <c r="O14" i="1"/>
  <c r="F14" i="1"/>
  <c r="T13" i="1"/>
  <c r="F13" i="1"/>
  <c r="T12" i="1"/>
  <c r="R12" i="1"/>
  <c r="Q12" i="1"/>
  <c r="P12" i="1"/>
  <c r="F12" i="1"/>
  <c r="D12" i="1"/>
  <c r="T11" i="1"/>
  <c r="R11" i="1"/>
  <c r="Q11" i="1"/>
  <c r="P11" i="1"/>
  <c r="F11" i="1"/>
  <c r="D11" i="1"/>
  <c r="T10" i="1"/>
  <c r="R10" i="1"/>
  <c r="Q10" i="1"/>
  <c r="P10" i="1"/>
  <c r="Q9" i="1"/>
  <c r="F9" i="1"/>
  <c r="D9" i="1"/>
  <c r="F8" i="1"/>
  <c r="D8" i="1"/>
  <c r="F5" i="1"/>
  <c r="F4" i="1"/>
  <c r="D4" i="1"/>
  <c r="F24" i="2"/>
  <c r="F23" i="2"/>
  <c r="F22" i="2"/>
  <c r="F21" i="2"/>
  <c r="F20" i="2"/>
  <c r="T17" i="2"/>
  <c r="R17" i="2"/>
  <c r="Q17" i="2"/>
  <c r="P17" i="2"/>
  <c r="O17" i="2"/>
  <c r="F17" i="2"/>
  <c r="T16" i="2"/>
  <c r="R16" i="2"/>
  <c r="Q16" i="2"/>
  <c r="P16" i="2"/>
  <c r="O16" i="2"/>
  <c r="F16" i="2"/>
  <c r="T15" i="2"/>
  <c r="R15" i="2"/>
  <c r="Q15" i="2"/>
  <c r="P15" i="2"/>
  <c r="O15" i="2"/>
  <c r="F15" i="2"/>
  <c r="T14" i="2"/>
  <c r="R14" i="2"/>
  <c r="Q14" i="2"/>
  <c r="P14" i="2"/>
  <c r="O14" i="2"/>
  <c r="H14" i="2"/>
  <c r="F14" i="2"/>
  <c r="T13" i="2"/>
  <c r="H13" i="2"/>
  <c r="F13" i="2"/>
  <c r="T12" i="2"/>
  <c r="R12" i="2"/>
  <c r="Q12" i="2"/>
  <c r="P12" i="2"/>
  <c r="F12" i="2"/>
  <c r="D12" i="2"/>
  <c r="T11" i="2"/>
  <c r="R11" i="2"/>
  <c r="Q11" i="2"/>
  <c r="P11" i="2"/>
  <c r="F11" i="2"/>
  <c r="D11" i="2"/>
  <c r="T10" i="2"/>
  <c r="R10" i="2"/>
  <c r="Q10" i="2"/>
  <c r="P10" i="2"/>
  <c r="T9" i="2"/>
  <c r="R9" i="2"/>
  <c r="Q9" i="2"/>
  <c r="P9" i="2"/>
  <c r="F9" i="2"/>
  <c r="D9" i="2"/>
  <c r="H8" i="2"/>
  <c r="F8" i="2"/>
  <c r="D8" i="2"/>
  <c r="F5" i="2"/>
  <c r="F4" i="2"/>
  <c r="D4" i="2"/>
</calcChain>
</file>

<file path=xl/sharedStrings.xml><?xml version="1.0" encoding="utf-8"?>
<sst xmlns="http://schemas.openxmlformats.org/spreadsheetml/2006/main" count="169" uniqueCount="52">
  <si>
    <t>No</t>
  </si>
  <si>
    <t>Kegiatan</t>
  </si>
  <si>
    <t>Satuan</t>
  </si>
  <si>
    <t>Volume</t>
  </si>
  <si>
    <t>Harga Satuan</t>
  </si>
  <si>
    <t>Total Harga</t>
  </si>
  <si>
    <t>23 Juli 2024 --&gt; Saran Mas Dwi (harga bibit jadi Rp. 2.000,-)</t>
  </si>
  <si>
    <t>A</t>
  </si>
  <si>
    <t>Bibit Mangrove</t>
  </si>
  <si>
    <t>Pengadaan  Avicennia marina</t>
  </si>
  <si>
    <t>Batang</t>
  </si>
  <si>
    <t>SUB TOTAL A</t>
  </si>
  <si>
    <t>B</t>
  </si>
  <si>
    <t>Sarana dan Prasarana</t>
  </si>
  <si>
    <t>Pengadaan Rumpun P (2 m) D (6 cm)</t>
  </si>
  <si>
    <t>Nilai</t>
  </si>
  <si>
    <t>PPN 11%</t>
  </si>
  <si>
    <t>PPH 2%</t>
  </si>
  <si>
    <t>Harga satuan</t>
  </si>
  <si>
    <t>Pembulatan</t>
  </si>
  <si>
    <t>Pengadaan Ajir P (150 cm) L (3 cm)</t>
  </si>
  <si>
    <t>Pengadaan Patok Rumpun P (3 m) D (7-10 cm)</t>
  </si>
  <si>
    <t>Pengadaan Pelindung Tanaman</t>
  </si>
  <si>
    <t>Pengadaan Ajir P (120 cm) L (3 cm)</t>
  </si>
  <si>
    <t>-</t>
  </si>
  <si>
    <t>Bambu penyangga samping (Bambu belah 4, Panjang 200 cm)</t>
  </si>
  <si>
    <t>Pengadaan Pelindung Tanaman (380 m)</t>
  </si>
  <si>
    <t>Bambu penyangga depan belakang (Bambu belah 4, Panjang 200 cm)</t>
  </si>
  <si>
    <t>Bambu Belah pagar samping P (6 m) D (3-5 cm)</t>
  </si>
  <si>
    <t>Waring</t>
  </si>
  <si>
    <t>Bal</t>
  </si>
  <si>
    <t>Total</t>
  </si>
  <si>
    <t xml:space="preserve">Tali Rafia </t>
  </si>
  <si>
    <t>Waring @100 meter</t>
  </si>
  <si>
    <t>Nilon 5 mm</t>
  </si>
  <si>
    <t>Kg</t>
  </si>
  <si>
    <t>Tali Pengikat Ajir @1 bal</t>
  </si>
  <si>
    <t>Paku beton 7 cm</t>
  </si>
  <si>
    <t>Paku Beton @100 pcs P 7 cm</t>
  </si>
  <si>
    <t>SUB TOTAL B</t>
  </si>
  <si>
    <t>Nilon</t>
  </si>
  <si>
    <t>C</t>
  </si>
  <si>
    <t>Upah Pekerja</t>
  </si>
  <si>
    <t>Orang</t>
  </si>
  <si>
    <t>Hari</t>
  </si>
  <si>
    <t>Rumpun</t>
  </si>
  <si>
    <t xml:space="preserve">Persiapan Penanaman </t>
  </si>
  <si>
    <t>Bibit</t>
  </si>
  <si>
    <t>Penyelesaian Rumpun</t>
  </si>
  <si>
    <t>Evaluasi Penyelesaian rumpun</t>
  </si>
  <si>
    <t>SUBTOTAL C</t>
  </si>
  <si>
    <t xml:space="preserve">TOTAL SUB TOTAL A + B + 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</si>
</sst>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511703848384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0" fillId="0" borderId="2" xfId="2" applyFont="1" applyFill="1" applyBorder="1" applyAlignment="1">
      <alignment horizontal="left" vertical="center" wrapText="1"/>
    </xf>
    <xf numFmtId="41" fontId="0" fillId="0" borderId="1" xfId="2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1" fontId="1" fillId="2" borderId="1" xfId="2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41" fontId="0" fillId="0" borderId="1" xfId="2" applyFont="1" applyBorder="1"/>
    <xf numFmtId="41" fontId="0" fillId="0" borderId="1" xfId="0" applyNumberFormat="1" applyBorder="1"/>
    <xf numFmtId="0" fontId="0" fillId="0" borderId="1" xfId="0" applyBorder="1" applyAlignment="1">
      <alignment horizontal="left" vertical="center"/>
    </xf>
    <xf numFmtId="0" fontId="0" fillId="0" borderId="1" xfId="0" applyBorder="1"/>
    <xf numFmtId="41" fontId="0" fillId="0" borderId="0" xfId="0" applyNumberFormat="1"/>
    <xf numFmtId="0" fontId="0" fillId="0" borderId="2" xfId="0" applyBorder="1" applyAlignment="1">
      <alignment horizontal="left" vertical="center"/>
    </xf>
    <xf numFmtId="41" fontId="0" fillId="0" borderId="2" xfId="2" applyFont="1" applyBorder="1"/>
    <xf numFmtId="41" fontId="0" fillId="0" borderId="4" xfId="2" applyFont="1" applyBorder="1"/>
    <xf numFmtId="41" fontId="1" fillId="2" borderId="1" xfId="0" applyNumberFormat="1" applyFont="1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41" fontId="1" fillId="3" borderId="1" xfId="0" applyNumberFormat="1" applyFont="1" applyFill="1" applyBorder="1"/>
    <xf numFmtId="0" fontId="0" fillId="4" borderId="0" xfId="0" applyFill="1"/>
    <xf numFmtId="0" fontId="0" fillId="4" borderId="0" xfId="0" applyFill="1" applyAlignment="1">
      <alignment horizontal="center"/>
    </xf>
    <xf numFmtId="41" fontId="0" fillId="4" borderId="0" xfId="2" applyFont="1" applyFill="1"/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41" fontId="0" fillId="4" borderId="1" xfId="2" applyFont="1" applyFill="1" applyBorder="1" applyAlignment="1">
      <alignment horizontal="center" vertical="center"/>
    </xf>
    <xf numFmtId="41" fontId="0" fillId="4" borderId="0" xfId="0" applyNumberFormat="1" applyFill="1"/>
    <xf numFmtId="0" fontId="0" fillId="4" borderId="0" xfId="0" applyFill="1" applyAlignment="1">
      <alignment horizontal="left" vertical="center"/>
    </xf>
    <xf numFmtId="41" fontId="0" fillId="4" borderId="0" xfId="2" applyFont="1" applyFill="1" applyBorder="1" applyAlignment="1">
      <alignment horizontal="center" vertical="center"/>
    </xf>
    <xf numFmtId="165" fontId="0" fillId="0" borderId="0" xfId="1" applyNumberFormat="1" applyFont="1" applyAlignment="1"/>
    <xf numFmtId="165" fontId="2" fillId="0" borderId="0" xfId="1" applyNumberFormat="1" applyFont="1" applyAlignment="1"/>
    <xf numFmtId="0" fontId="0" fillId="0" borderId="0" xfId="0" applyAlignment="1">
      <alignment horizontal="center"/>
    </xf>
    <xf numFmtId="41" fontId="0" fillId="0" borderId="0" xfId="2" applyFont="1"/>
    <xf numFmtId="41" fontId="0" fillId="0" borderId="1" xfId="2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1" fontId="0" fillId="0" borderId="0" xfId="2" applyFont="1" applyFill="1" applyBorder="1" applyAlignment="1">
      <alignment horizontal="center" vertical="center"/>
    </xf>
    <xf numFmtId="0" fontId="0" fillId="0" borderId="0" xfId="0" quotePrefix="1"/>
    <xf numFmtId="0" fontId="0" fillId="0" borderId="1" xfId="0" quotePrefix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24"/>
  <sheetViews>
    <sheetView tabSelected="1" zoomScale="75" zoomScaleNormal="75" workbookViewId="0">
      <selection activeCell="I25" sqref="I25"/>
    </sheetView>
  </sheetViews>
  <sheetFormatPr defaultColWidth="9" defaultRowHeight="14.5"/>
  <cols>
    <col min="1" max="1" width="3.453125" customWidth="1"/>
    <col min="2" max="2" width="59.81640625" customWidth="1"/>
    <col min="5" max="5" width="12.1796875" customWidth="1"/>
    <col min="6" max="6" width="15.54296875" customWidth="1"/>
    <col min="8" max="8" width="16.54296875" style="37" customWidth="1"/>
    <col min="11" max="11" width="40.36328125" customWidth="1"/>
    <col min="14" max="14" width="14.54296875" customWidth="1"/>
    <col min="15" max="15" width="11.1796875" customWidth="1"/>
    <col min="18" max="18" width="12" customWidth="1"/>
    <col min="19" max="19" width="12.08984375" customWidth="1"/>
    <col min="20" max="20" width="11.1796875" customWidth="1"/>
  </cols>
  <sheetData>
    <row r="2" spans="1:2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K2" s="44" t="s">
        <v>6</v>
      </c>
    </row>
    <row r="3" spans="1:20">
      <c r="A3" s="1" t="s">
        <v>7</v>
      </c>
      <c r="B3" s="2" t="s">
        <v>8</v>
      </c>
      <c r="C3" s="1"/>
      <c r="D3" s="1"/>
      <c r="E3" s="1"/>
      <c r="F3" s="1"/>
    </row>
    <row r="4" spans="1:20">
      <c r="A4" s="3">
        <v>1</v>
      </c>
      <c r="B4" s="4" t="s">
        <v>9</v>
      </c>
      <c r="C4" s="5" t="s">
        <v>10</v>
      </c>
      <c r="D4" s="5">
        <f>50*125</f>
        <v>6250</v>
      </c>
      <c r="E4" s="5">
        <v>1800</v>
      </c>
      <c r="F4" s="5">
        <f>E4*D4</f>
        <v>11250000</v>
      </c>
      <c r="H4" s="38">
        <v>2000</v>
      </c>
    </row>
    <row r="5" spans="1:20">
      <c r="A5" s="46" t="s">
        <v>11</v>
      </c>
      <c r="B5" s="47"/>
      <c r="C5" s="47"/>
      <c r="D5" s="47"/>
      <c r="E5" s="48"/>
      <c r="F5" s="7">
        <f>SUM(F4:F4)</f>
        <v>11250000</v>
      </c>
    </row>
    <row r="6" spans="1:20">
      <c r="A6" s="6" t="s">
        <v>12</v>
      </c>
      <c r="B6" s="8" t="s">
        <v>13</v>
      </c>
      <c r="C6" s="9"/>
    </row>
    <row r="7" spans="1:20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20">
      <c r="A8" s="3">
        <v>1</v>
      </c>
      <c r="B8" s="10" t="s">
        <v>14</v>
      </c>
      <c r="C8" s="11" t="s">
        <v>10</v>
      </c>
      <c r="D8" s="12">
        <f>50*24</f>
        <v>1200</v>
      </c>
      <c r="E8" s="12">
        <v>46000</v>
      </c>
      <c r="F8" s="13">
        <f>D8*E8</f>
        <v>55200000</v>
      </c>
      <c r="H8" s="37">
        <f>SUM(F8:F12)</f>
        <v>72118750</v>
      </c>
      <c r="J8" t="s">
        <v>0</v>
      </c>
      <c r="K8" t="s">
        <v>1</v>
      </c>
      <c r="L8" s="39" t="s">
        <v>2</v>
      </c>
      <c r="M8" s="39" t="s">
        <v>3</v>
      </c>
      <c r="N8" s="39" t="s">
        <v>4</v>
      </c>
      <c r="O8" s="39" t="s">
        <v>15</v>
      </c>
      <c r="P8" s="39" t="s">
        <v>16</v>
      </c>
      <c r="Q8" s="39" t="s">
        <v>17</v>
      </c>
      <c r="R8" s="39" t="s">
        <v>18</v>
      </c>
      <c r="S8" s="39" t="s">
        <v>19</v>
      </c>
      <c r="T8" s="39" t="s">
        <v>15</v>
      </c>
    </row>
    <row r="9" spans="1:20">
      <c r="A9" s="3">
        <v>2</v>
      </c>
      <c r="B9" s="14" t="s">
        <v>20</v>
      </c>
      <c r="C9" s="3" t="s">
        <v>10</v>
      </c>
      <c r="D9" s="12">
        <f>50*125</f>
        <v>6250</v>
      </c>
      <c r="E9" s="12">
        <v>1075</v>
      </c>
      <c r="F9" s="13">
        <f t="shared" ref="F9:F16" si="0">D9*E9</f>
        <v>6718750</v>
      </c>
      <c r="J9">
        <v>1</v>
      </c>
      <c r="K9" t="s">
        <v>21</v>
      </c>
      <c r="L9" t="s">
        <v>10</v>
      </c>
      <c r="M9" s="40">
        <v>1200</v>
      </c>
      <c r="N9" s="40">
        <v>40000</v>
      </c>
      <c r="O9" s="40">
        <v>6120000</v>
      </c>
      <c r="P9" s="40">
        <f>N9*11%</f>
        <v>4400</v>
      </c>
      <c r="Q9" s="40">
        <f>N9*2%</f>
        <v>800</v>
      </c>
      <c r="R9" s="40">
        <f>N9+P9+Q9</f>
        <v>45200</v>
      </c>
      <c r="S9" s="40">
        <v>46000</v>
      </c>
      <c r="T9" s="40">
        <f>M9*S9</f>
        <v>55200000</v>
      </c>
    </row>
    <row r="10" spans="1:20">
      <c r="A10" s="3">
        <v>3</v>
      </c>
      <c r="B10" s="14" t="s">
        <v>22</v>
      </c>
      <c r="C10" s="3"/>
      <c r="D10" s="15"/>
      <c r="E10" s="12"/>
      <c r="F10" s="13"/>
      <c r="J10">
        <v>2</v>
      </c>
      <c r="K10" t="s">
        <v>23</v>
      </c>
      <c r="L10" t="s">
        <v>10</v>
      </c>
      <c r="M10" s="40">
        <v>6250</v>
      </c>
      <c r="N10" s="40">
        <v>950</v>
      </c>
      <c r="O10" s="40">
        <v>1125000</v>
      </c>
      <c r="P10" s="40">
        <f>N10*11%</f>
        <v>104.5</v>
      </c>
      <c r="Q10" s="40">
        <f t="shared" ref="Q10:Q12" si="1">N10*2%</f>
        <v>19</v>
      </c>
      <c r="R10" s="40">
        <f>N10+P10+Q10</f>
        <v>1073.5</v>
      </c>
      <c r="S10" s="40">
        <v>1075</v>
      </c>
      <c r="T10" s="40">
        <f t="shared" ref="T10:T12" si="2">M10*S10</f>
        <v>6718750</v>
      </c>
    </row>
    <row r="11" spans="1:20">
      <c r="A11" s="3" t="s">
        <v>24</v>
      </c>
      <c r="B11" s="10" t="s">
        <v>25</v>
      </c>
      <c r="C11" s="3" t="s">
        <v>10</v>
      </c>
      <c r="D11" s="12">
        <f>50*20</f>
        <v>1000</v>
      </c>
      <c r="E11" s="12">
        <v>8500</v>
      </c>
      <c r="F11" s="13">
        <f t="shared" si="0"/>
        <v>8500000</v>
      </c>
      <c r="J11">
        <v>4</v>
      </c>
      <c r="K11" t="s">
        <v>26</v>
      </c>
      <c r="M11" s="40"/>
      <c r="N11" s="40"/>
      <c r="O11" s="40"/>
      <c r="P11" s="40">
        <f t="shared" ref="P11:P12" si="3">N11*11%</f>
        <v>0</v>
      </c>
      <c r="Q11" s="40">
        <f t="shared" si="1"/>
        <v>0</v>
      </c>
      <c r="R11" s="40">
        <f t="shared" ref="R11:R12" si="4">N11+P11+Q11</f>
        <v>0</v>
      </c>
      <c r="S11" s="40"/>
      <c r="T11" s="40">
        <f t="shared" si="2"/>
        <v>0</v>
      </c>
    </row>
    <row r="12" spans="1:20">
      <c r="A12" s="3" t="s">
        <v>24</v>
      </c>
      <c r="B12" s="10" t="s">
        <v>27</v>
      </c>
      <c r="C12" s="3" t="s">
        <v>10</v>
      </c>
      <c r="D12" s="12">
        <f>4*50</f>
        <v>200</v>
      </c>
      <c r="E12" s="12">
        <v>8500</v>
      </c>
      <c r="F12" s="13">
        <f t="shared" si="0"/>
        <v>1700000</v>
      </c>
      <c r="J12" t="s">
        <v>24</v>
      </c>
      <c r="K12" t="s">
        <v>28</v>
      </c>
      <c r="L12" t="s">
        <v>10</v>
      </c>
      <c r="M12" s="40">
        <v>1200</v>
      </c>
      <c r="N12" s="40">
        <v>7500</v>
      </c>
      <c r="O12" s="40">
        <v>1275000</v>
      </c>
      <c r="P12" s="40">
        <f t="shared" si="3"/>
        <v>825</v>
      </c>
      <c r="Q12" s="40">
        <f t="shared" si="1"/>
        <v>150</v>
      </c>
      <c r="R12" s="40">
        <f t="shared" si="4"/>
        <v>8475</v>
      </c>
      <c r="S12" s="40">
        <v>8500</v>
      </c>
      <c r="T12" s="40">
        <f t="shared" si="2"/>
        <v>10200000</v>
      </c>
    </row>
    <row r="13" spans="1:20">
      <c r="A13" s="3" t="s">
        <v>24</v>
      </c>
      <c r="B13" s="14" t="s">
        <v>29</v>
      </c>
      <c r="C13" s="3" t="s">
        <v>30</v>
      </c>
      <c r="D13" s="12">
        <v>15</v>
      </c>
      <c r="E13" s="12">
        <v>970000</v>
      </c>
      <c r="F13" s="13">
        <f t="shared" si="0"/>
        <v>14550000</v>
      </c>
      <c r="H13" s="37">
        <f>SUM(F13:F16)</f>
        <v>15982000</v>
      </c>
      <c r="I13" s="40"/>
      <c r="S13" t="s">
        <v>31</v>
      </c>
      <c r="T13" s="16">
        <f>SUM(T9:T12)</f>
        <v>72118750</v>
      </c>
    </row>
    <row r="14" spans="1:20">
      <c r="A14" s="3" t="s">
        <v>24</v>
      </c>
      <c r="B14" s="14" t="s">
        <v>32</v>
      </c>
      <c r="C14" s="3" t="s">
        <v>30</v>
      </c>
      <c r="D14" s="12">
        <v>4</v>
      </c>
      <c r="E14" s="12">
        <v>33000</v>
      </c>
      <c r="F14" s="13">
        <f t="shared" si="0"/>
        <v>132000</v>
      </c>
      <c r="H14" s="37">
        <f>F17-H13</f>
        <v>72118750</v>
      </c>
      <c r="I14" s="40"/>
      <c r="J14">
        <v>1</v>
      </c>
      <c r="K14" s="14" t="s">
        <v>33</v>
      </c>
      <c r="L14" s="3" t="s">
        <v>30</v>
      </c>
      <c r="M14" s="41">
        <v>15</v>
      </c>
      <c r="N14" s="41">
        <v>855000</v>
      </c>
      <c r="O14" s="40">
        <f>M14*N14</f>
        <v>12825000</v>
      </c>
      <c r="P14" s="16">
        <f>N14*11%</f>
        <v>94050</v>
      </c>
      <c r="Q14" s="16">
        <f>N14*2%</f>
        <v>17100</v>
      </c>
      <c r="R14" s="16">
        <f>N14+P14+Q14</f>
        <v>966150</v>
      </c>
      <c r="S14" s="40">
        <v>970000</v>
      </c>
      <c r="T14" s="40">
        <f>M14*S14</f>
        <v>14550000</v>
      </c>
    </row>
    <row r="15" spans="1:20">
      <c r="A15" s="45" t="s">
        <v>24</v>
      </c>
      <c r="B15" s="14" t="s">
        <v>34</v>
      </c>
      <c r="C15" s="3" t="s">
        <v>35</v>
      </c>
      <c r="D15" s="12">
        <v>10</v>
      </c>
      <c r="E15" s="12">
        <v>98000</v>
      </c>
      <c r="F15" s="13">
        <f t="shared" si="0"/>
        <v>980000</v>
      </c>
      <c r="I15" s="40"/>
      <c r="J15">
        <v>2</v>
      </c>
      <c r="K15" s="14" t="s">
        <v>36</v>
      </c>
      <c r="L15" s="3" t="s">
        <v>30</v>
      </c>
      <c r="M15" s="41">
        <v>4</v>
      </c>
      <c r="N15" s="41">
        <v>29000</v>
      </c>
      <c r="O15" s="40">
        <f t="shared" ref="O15:O17" si="5">M15*N15</f>
        <v>116000</v>
      </c>
      <c r="P15" s="16">
        <f t="shared" ref="P15:P17" si="6">N15*11%</f>
        <v>3190</v>
      </c>
      <c r="Q15" s="16">
        <f t="shared" ref="Q15:Q17" si="7">N15*2%</f>
        <v>580</v>
      </c>
      <c r="R15" s="16">
        <f>N15+P15+Q15</f>
        <v>32770</v>
      </c>
      <c r="S15" s="40">
        <v>33000</v>
      </c>
      <c r="T15" s="40">
        <f t="shared" ref="T15:T17" si="8">M15*S15</f>
        <v>132000</v>
      </c>
    </row>
    <row r="16" spans="1:20">
      <c r="A16" s="45" t="s">
        <v>24</v>
      </c>
      <c r="B16" s="17" t="s">
        <v>37</v>
      </c>
      <c r="C16" s="3" t="s">
        <v>35</v>
      </c>
      <c r="D16" s="12">
        <v>8</v>
      </c>
      <c r="E16" s="12">
        <v>40000</v>
      </c>
      <c r="F16" s="13">
        <f t="shared" si="0"/>
        <v>320000</v>
      </c>
      <c r="I16" s="40"/>
      <c r="J16">
        <v>3</v>
      </c>
      <c r="K16" s="14" t="s">
        <v>38</v>
      </c>
      <c r="L16" s="3" t="s">
        <v>35</v>
      </c>
      <c r="M16" s="41">
        <v>8</v>
      </c>
      <c r="N16" s="41">
        <v>35000</v>
      </c>
      <c r="O16" s="40">
        <f t="shared" si="5"/>
        <v>280000</v>
      </c>
      <c r="P16" s="16">
        <f t="shared" si="6"/>
        <v>3850</v>
      </c>
      <c r="Q16" s="16">
        <f t="shared" si="7"/>
        <v>700</v>
      </c>
      <c r="R16" s="16">
        <f>N16+P16+Q16</f>
        <v>39550</v>
      </c>
      <c r="S16" s="40">
        <v>40000</v>
      </c>
      <c r="T16" s="40">
        <f t="shared" si="8"/>
        <v>320000</v>
      </c>
    </row>
    <row r="17" spans="1:20">
      <c r="A17" s="46" t="s">
        <v>39</v>
      </c>
      <c r="B17" s="47"/>
      <c r="C17" s="47"/>
      <c r="D17" s="47"/>
      <c r="E17" s="48"/>
      <c r="F17" s="20">
        <f>SUM(F8:F16)</f>
        <v>88100750</v>
      </c>
      <c r="K17" s="42" t="s">
        <v>40</v>
      </c>
      <c r="M17" s="43">
        <v>10</v>
      </c>
      <c r="N17" s="43">
        <v>86500</v>
      </c>
      <c r="O17" s="40">
        <f t="shared" si="5"/>
        <v>865000</v>
      </c>
      <c r="P17" s="16">
        <f t="shared" si="6"/>
        <v>9515</v>
      </c>
      <c r="Q17" s="16">
        <f t="shared" si="7"/>
        <v>1730</v>
      </c>
      <c r="R17" s="16">
        <f>N17+P17+Q17</f>
        <v>97745</v>
      </c>
      <c r="S17" s="40">
        <v>98000</v>
      </c>
      <c r="T17" s="40">
        <f t="shared" si="8"/>
        <v>980000</v>
      </c>
    </row>
    <row r="18" spans="1:20">
      <c r="A18" s="21" t="s">
        <v>41</v>
      </c>
      <c r="B18" s="22" t="s">
        <v>42</v>
      </c>
      <c r="C18" s="9"/>
    </row>
    <row r="19" spans="1:20">
      <c r="A19" s="1" t="s">
        <v>0</v>
      </c>
      <c r="B19" s="1" t="s">
        <v>1</v>
      </c>
      <c r="C19" s="1" t="s">
        <v>43</v>
      </c>
      <c r="D19" s="1" t="s">
        <v>44</v>
      </c>
      <c r="E19" s="1" t="s">
        <v>4</v>
      </c>
      <c r="F19" s="1" t="s">
        <v>5</v>
      </c>
      <c r="I19">
        <v>50</v>
      </c>
      <c r="J19" t="s">
        <v>45</v>
      </c>
    </row>
    <row r="20" spans="1:20">
      <c r="A20" s="3">
        <v>1</v>
      </c>
      <c r="B20" s="10" t="s">
        <v>46</v>
      </c>
      <c r="C20" s="3">
        <v>10</v>
      </c>
      <c r="D20" s="15">
        <v>2</v>
      </c>
      <c r="E20" s="12">
        <v>100000</v>
      </c>
      <c r="F20" s="13">
        <f>C20*E20*D20</f>
        <v>2000000</v>
      </c>
      <c r="I20">
        <v>125</v>
      </c>
      <c r="J20" t="s">
        <v>47</v>
      </c>
    </row>
    <row r="21" spans="1:20">
      <c r="A21" s="3">
        <v>2</v>
      </c>
      <c r="B21" s="10" t="s">
        <v>48</v>
      </c>
      <c r="C21" s="3">
        <v>10</v>
      </c>
      <c r="D21" s="15">
        <v>13</v>
      </c>
      <c r="E21" s="12">
        <v>100000</v>
      </c>
      <c r="F21" s="13">
        <f t="shared" ref="F21" si="9">C21*D21*E21</f>
        <v>13000000</v>
      </c>
      <c r="I21">
        <f>I19*I20</f>
        <v>6250</v>
      </c>
    </row>
    <row r="22" spans="1:20">
      <c r="A22" s="23">
        <v>3</v>
      </c>
      <c r="B22" s="24" t="s">
        <v>49</v>
      </c>
      <c r="C22" s="25">
        <v>10</v>
      </c>
      <c r="D22" s="26">
        <v>1</v>
      </c>
      <c r="E22" s="12">
        <v>100000</v>
      </c>
      <c r="F22" s="13">
        <f>C22*E22</f>
        <v>1000000</v>
      </c>
    </row>
    <row r="23" spans="1:20">
      <c r="A23" s="49" t="s">
        <v>50</v>
      </c>
      <c r="B23" s="50"/>
      <c r="C23" s="50"/>
      <c r="D23" s="50"/>
      <c r="E23" s="51"/>
      <c r="F23" s="20">
        <f>SUM(F20:F22)</f>
        <v>16000000</v>
      </c>
    </row>
    <row r="24" spans="1:20">
      <c r="A24" s="52" t="s">
        <v>51</v>
      </c>
      <c r="B24" s="53"/>
      <c r="C24" s="53"/>
      <c r="D24" s="53"/>
      <c r="E24" s="54"/>
      <c r="F24" s="27">
        <f>F5+F17+F23</f>
        <v>115350750</v>
      </c>
    </row>
  </sheetData>
  <mergeCells count="4">
    <mergeCell ref="A5:E5"/>
    <mergeCell ref="A17:E17"/>
    <mergeCell ref="A23:E23"/>
    <mergeCell ref="A24:E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24"/>
  <sheetViews>
    <sheetView topLeftCell="A8" workbookViewId="0">
      <selection activeCell="A17" sqref="A17:E17"/>
    </sheetView>
  </sheetViews>
  <sheetFormatPr defaultColWidth="9" defaultRowHeight="14.5"/>
  <cols>
    <col min="1" max="1" width="3.453125" customWidth="1"/>
    <col min="2" max="2" width="59.81640625" customWidth="1"/>
    <col min="5" max="6" width="12.1796875" customWidth="1"/>
    <col min="8" max="8" width="11.453125" customWidth="1"/>
    <col min="11" max="11" width="40.36328125" customWidth="1"/>
    <col min="14" max="14" width="12.7265625" customWidth="1"/>
    <col min="15" max="15" width="11.1796875" customWidth="1"/>
    <col min="18" max="18" width="13.1796875" customWidth="1"/>
    <col min="19" max="19" width="11.26953125" customWidth="1"/>
    <col min="20" max="20" width="11.1796875" customWidth="1"/>
  </cols>
  <sheetData>
    <row r="2" spans="1:2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20">
      <c r="A3" s="1" t="s">
        <v>7</v>
      </c>
      <c r="B3" s="2" t="s">
        <v>8</v>
      </c>
      <c r="C3" s="1"/>
      <c r="D3" s="1"/>
      <c r="E3" s="1"/>
      <c r="F3" s="1"/>
    </row>
    <row r="4" spans="1:20">
      <c r="A4" s="3">
        <v>1</v>
      </c>
      <c r="B4" s="4" t="s">
        <v>9</v>
      </c>
      <c r="C4" s="5" t="s">
        <v>10</v>
      </c>
      <c r="D4" s="5">
        <f>50*125</f>
        <v>6250</v>
      </c>
      <c r="E4" s="5">
        <v>1800</v>
      </c>
      <c r="F4" s="5">
        <f>E4*D4</f>
        <v>11250000</v>
      </c>
    </row>
    <row r="5" spans="1:20">
      <c r="A5" s="46" t="s">
        <v>11</v>
      </c>
      <c r="B5" s="47"/>
      <c r="C5" s="47"/>
      <c r="D5" s="47"/>
      <c r="E5" s="48"/>
      <c r="F5" s="7">
        <f>SUM(F4:F4)</f>
        <v>11250000</v>
      </c>
    </row>
    <row r="6" spans="1:20">
      <c r="A6" s="6" t="s">
        <v>12</v>
      </c>
      <c r="B6" s="8" t="s">
        <v>13</v>
      </c>
      <c r="C6" s="9"/>
    </row>
    <row r="7" spans="1:20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20">
      <c r="A8" s="3">
        <v>1</v>
      </c>
      <c r="B8" s="10" t="s">
        <v>14</v>
      </c>
      <c r="C8" s="11" t="s">
        <v>10</v>
      </c>
      <c r="D8" s="12">
        <f>50*24</f>
        <v>1200</v>
      </c>
      <c r="E8" s="12">
        <v>40000</v>
      </c>
      <c r="F8" s="13">
        <f>D8*E8</f>
        <v>48000000</v>
      </c>
      <c r="J8" s="28" t="s">
        <v>0</v>
      </c>
      <c r="K8" s="28" t="s">
        <v>1</v>
      </c>
      <c r="L8" s="29" t="s">
        <v>2</v>
      </c>
      <c r="M8" s="29" t="s">
        <v>3</v>
      </c>
      <c r="N8" s="29" t="s">
        <v>4</v>
      </c>
      <c r="O8" s="29" t="s">
        <v>15</v>
      </c>
      <c r="P8" s="29" t="s">
        <v>16</v>
      </c>
      <c r="Q8" s="29" t="s">
        <v>17</v>
      </c>
      <c r="R8" s="29" t="s">
        <v>18</v>
      </c>
      <c r="S8" s="29" t="s">
        <v>19</v>
      </c>
      <c r="T8" s="29" t="s">
        <v>15</v>
      </c>
    </row>
    <row r="9" spans="1:20">
      <c r="A9" s="3">
        <v>2</v>
      </c>
      <c r="B9" s="14" t="s">
        <v>20</v>
      </c>
      <c r="C9" s="3" t="s">
        <v>10</v>
      </c>
      <c r="D9" s="12">
        <f>50*125</f>
        <v>6250</v>
      </c>
      <c r="E9" s="12">
        <v>950</v>
      </c>
      <c r="F9" s="13">
        <f t="shared" ref="F9:F16" si="0">D9*E9</f>
        <v>5937500</v>
      </c>
      <c r="J9" s="28">
        <v>1</v>
      </c>
      <c r="K9" s="28" t="s">
        <v>21</v>
      </c>
      <c r="L9" s="28" t="s">
        <v>10</v>
      </c>
      <c r="M9" s="30">
        <v>1200</v>
      </c>
      <c r="N9" s="30">
        <v>40000</v>
      </c>
      <c r="O9" s="30">
        <v>6120000</v>
      </c>
      <c r="P9" s="30">
        <f>N9*11%</f>
        <v>4400</v>
      </c>
      <c r="Q9" s="30">
        <f>N9*2%</f>
        <v>800</v>
      </c>
      <c r="R9" s="30">
        <f>N9+P9+Q9</f>
        <v>45200</v>
      </c>
      <c r="S9" s="30">
        <v>19500</v>
      </c>
      <c r="T9" s="30">
        <f>M9*S9</f>
        <v>23400000</v>
      </c>
    </row>
    <row r="10" spans="1:20">
      <c r="A10" s="3">
        <v>3</v>
      </c>
      <c r="B10" s="14" t="s">
        <v>22</v>
      </c>
      <c r="C10" s="3"/>
      <c r="D10" s="15"/>
      <c r="E10" s="12"/>
      <c r="F10" s="13"/>
      <c r="J10" s="28">
        <v>2</v>
      </c>
      <c r="K10" s="28" t="s">
        <v>23</v>
      </c>
      <c r="L10" s="28" t="s">
        <v>10</v>
      </c>
      <c r="M10" s="30">
        <v>6250</v>
      </c>
      <c r="N10" s="30">
        <v>850</v>
      </c>
      <c r="O10" s="30">
        <v>1125000</v>
      </c>
      <c r="P10" s="30">
        <f t="shared" ref="P10:P12" si="1">N10*11%</f>
        <v>93.5</v>
      </c>
      <c r="Q10" s="30">
        <f t="shared" ref="Q10:Q12" si="2">N10*2%</f>
        <v>17</v>
      </c>
      <c r="R10" s="30">
        <f t="shared" ref="R10:R12" si="3">N10+P10+Q10</f>
        <v>960.5</v>
      </c>
      <c r="S10" s="30">
        <v>700</v>
      </c>
      <c r="T10" s="30">
        <f t="shared" ref="T10:T12" si="4">M10*S10</f>
        <v>4375000</v>
      </c>
    </row>
    <row r="11" spans="1:20">
      <c r="A11" s="3" t="s">
        <v>24</v>
      </c>
      <c r="B11" s="10" t="s">
        <v>25</v>
      </c>
      <c r="C11" s="3" t="s">
        <v>10</v>
      </c>
      <c r="D11" s="12">
        <f>50*20</f>
        <v>1000</v>
      </c>
      <c r="E11" s="12">
        <v>7500</v>
      </c>
      <c r="F11" s="13">
        <f t="shared" si="0"/>
        <v>7500000</v>
      </c>
      <c r="H11" s="16"/>
      <c r="J11" s="28">
        <v>4</v>
      </c>
      <c r="K11" s="28" t="s">
        <v>26</v>
      </c>
      <c r="L11" s="28"/>
      <c r="M11" s="30"/>
      <c r="N11" s="30"/>
      <c r="O11" s="30"/>
      <c r="P11" s="30">
        <f t="shared" si="1"/>
        <v>0</v>
      </c>
      <c r="Q11" s="30">
        <f t="shared" si="2"/>
        <v>0</v>
      </c>
      <c r="R11" s="30">
        <f t="shared" si="3"/>
        <v>0</v>
      </c>
      <c r="S11" s="30"/>
      <c r="T11" s="30">
        <f t="shared" si="4"/>
        <v>0</v>
      </c>
    </row>
    <row r="12" spans="1:20">
      <c r="A12" s="3" t="s">
        <v>24</v>
      </c>
      <c r="B12" s="10" t="s">
        <v>27</v>
      </c>
      <c r="C12" s="3" t="s">
        <v>10</v>
      </c>
      <c r="D12" s="12">
        <f>4*50</f>
        <v>200</v>
      </c>
      <c r="E12" s="12">
        <v>7500</v>
      </c>
      <c r="F12" s="13">
        <f t="shared" si="0"/>
        <v>1500000</v>
      </c>
      <c r="J12" s="28" t="s">
        <v>24</v>
      </c>
      <c r="K12" s="28" t="s">
        <v>28</v>
      </c>
      <c r="L12" s="28" t="s">
        <v>10</v>
      </c>
      <c r="M12" s="30">
        <v>1200</v>
      </c>
      <c r="N12" s="30">
        <v>7500</v>
      </c>
      <c r="O12" s="30">
        <v>1275000</v>
      </c>
      <c r="P12" s="30">
        <f t="shared" si="1"/>
        <v>825</v>
      </c>
      <c r="Q12" s="30">
        <f t="shared" si="2"/>
        <v>150</v>
      </c>
      <c r="R12" s="30">
        <f t="shared" si="3"/>
        <v>8475</v>
      </c>
      <c r="S12" s="30">
        <v>4900</v>
      </c>
      <c r="T12" s="30">
        <f t="shared" si="4"/>
        <v>5880000</v>
      </c>
    </row>
    <row r="13" spans="1:20">
      <c r="A13" s="3" t="s">
        <v>24</v>
      </c>
      <c r="B13" s="14" t="s">
        <v>29</v>
      </c>
      <c r="C13" s="3" t="s">
        <v>30</v>
      </c>
      <c r="D13" s="12">
        <v>15</v>
      </c>
      <c r="E13" s="12">
        <v>855000</v>
      </c>
      <c r="F13" s="13">
        <f t="shared" si="0"/>
        <v>12825000</v>
      </c>
      <c r="J13" s="28"/>
      <c r="K13" s="28"/>
      <c r="L13" s="28"/>
      <c r="M13" s="28"/>
      <c r="N13" s="28"/>
      <c r="O13" s="28"/>
      <c r="P13" s="28"/>
      <c r="Q13" s="28"/>
      <c r="R13" s="28"/>
      <c r="S13" s="28" t="s">
        <v>31</v>
      </c>
      <c r="T13" s="34">
        <f>SUM(T9:T12)</f>
        <v>33655000</v>
      </c>
    </row>
    <row r="14" spans="1:20">
      <c r="A14" s="3" t="s">
        <v>24</v>
      </c>
      <c r="B14" s="14" t="s">
        <v>32</v>
      </c>
      <c r="C14" s="3" t="s">
        <v>30</v>
      </c>
      <c r="D14" s="12">
        <v>4</v>
      </c>
      <c r="E14" s="12">
        <v>29000</v>
      </c>
      <c r="F14" s="13">
        <f t="shared" si="0"/>
        <v>116000</v>
      </c>
      <c r="J14" s="28">
        <v>1</v>
      </c>
      <c r="K14" s="31" t="s">
        <v>33</v>
      </c>
      <c r="L14" s="32" t="s">
        <v>30</v>
      </c>
      <c r="M14" s="33">
        <v>13</v>
      </c>
      <c r="N14" s="33">
        <v>855000</v>
      </c>
      <c r="O14" s="30">
        <f>M14*N14</f>
        <v>11115000</v>
      </c>
      <c r="P14" s="34">
        <f>N14*11%</f>
        <v>94050</v>
      </c>
      <c r="Q14" s="34">
        <f>N14*2%</f>
        <v>17100</v>
      </c>
      <c r="R14" s="34">
        <f>N14+P14+Q14</f>
        <v>966150</v>
      </c>
      <c r="S14" s="30">
        <v>574700</v>
      </c>
      <c r="T14" s="30">
        <f>M14*S14</f>
        <v>7471100</v>
      </c>
    </row>
    <row r="15" spans="1:20">
      <c r="A15" s="45" t="s">
        <v>24</v>
      </c>
      <c r="B15" s="14" t="s">
        <v>34</v>
      </c>
      <c r="C15" s="3" t="s">
        <v>35</v>
      </c>
      <c r="D15" s="12">
        <v>10</v>
      </c>
      <c r="E15" s="12">
        <v>86500</v>
      </c>
      <c r="F15" s="13">
        <f t="shared" si="0"/>
        <v>865000</v>
      </c>
      <c r="J15" s="28">
        <v>2</v>
      </c>
      <c r="K15" s="31" t="s">
        <v>36</v>
      </c>
      <c r="L15" s="32" t="s">
        <v>30</v>
      </c>
      <c r="M15" s="33">
        <v>4</v>
      </c>
      <c r="N15" s="33">
        <v>29000</v>
      </c>
      <c r="O15" s="30">
        <f t="shared" ref="O15:O17" si="5">M15*N15</f>
        <v>116000</v>
      </c>
      <c r="P15" s="34">
        <f t="shared" ref="P15:P17" si="6">N15*11%</f>
        <v>3190</v>
      </c>
      <c r="Q15" s="34">
        <f t="shared" ref="Q15:Q17" si="7">N15*2%</f>
        <v>580</v>
      </c>
      <c r="R15" s="34">
        <f>N15+P15+Q15</f>
        <v>32770</v>
      </c>
      <c r="S15" s="30">
        <v>23500</v>
      </c>
      <c r="T15" s="30">
        <f t="shared" ref="T15:T17" si="8">M15*S15</f>
        <v>94000</v>
      </c>
    </row>
    <row r="16" spans="1:20">
      <c r="A16" s="45" t="s">
        <v>24</v>
      </c>
      <c r="B16" s="17" t="s">
        <v>37</v>
      </c>
      <c r="C16" s="3" t="s">
        <v>35</v>
      </c>
      <c r="D16" s="18">
        <v>8</v>
      </c>
      <c r="E16" s="19">
        <v>35000</v>
      </c>
      <c r="F16" s="13">
        <f t="shared" si="0"/>
        <v>280000</v>
      </c>
      <c r="J16" s="28">
        <v>3</v>
      </c>
      <c r="K16" s="31" t="s">
        <v>38</v>
      </c>
      <c r="L16" s="32" t="s">
        <v>35</v>
      </c>
      <c r="M16" s="33">
        <v>8</v>
      </c>
      <c r="N16" s="33">
        <v>86500</v>
      </c>
      <c r="O16" s="30">
        <f t="shared" si="5"/>
        <v>692000</v>
      </c>
      <c r="P16" s="34">
        <f t="shared" si="6"/>
        <v>9515</v>
      </c>
      <c r="Q16" s="34">
        <f t="shared" si="7"/>
        <v>1730</v>
      </c>
      <c r="R16" s="34">
        <f>N16+P16+Q16</f>
        <v>97745</v>
      </c>
      <c r="S16" s="30">
        <v>69300</v>
      </c>
      <c r="T16" s="30">
        <f t="shared" si="8"/>
        <v>554400</v>
      </c>
    </row>
    <row r="17" spans="1:20">
      <c r="A17" s="46" t="s">
        <v>39</v>
      </c>
      <c r="B17" s="47"/>
      <c r="C17" s="47"/>
      <c r="D17" s="47"/>
      <c r="E17" s="48"/>
      <c r="F17" s="20">
        <f>SUM(F8:F16)</f>
        <v>77023500</v>
      </c>
      <c r="J17" s="28"/>
      <c r="K17" s="35" t="s">
        <v>40</v>
      </c>
      <c r="L17" s="28"/>
      <c r="M17" s="36">
        <v>10</v>
      </c>
      <c r="N17" s="36">
        <v>35000</v>
      </c>
      <c r="O17" s="30">
        <f t="shared" si="5"/>
        <v>350000</v>
      </c>
      <c r="P17" s="34">
        <f t="shared" si="6"/>
        <v>3850</v>
      </c>
      <c r="Q17" s="34">
        <f t="shared" si="7"/>
        <v>700</v>
      </c>
      <c r="R17" s="34">
        <f>N17+P17+Q17</f>
        <v>39550</v>
      </c>
      <c r="S17" s="30">
        <v>69300</v>
      </c>
      <c r="T17" s="30">
        <f t="shared" si="8"/>
        <v>693000</v>
      </c>
    </row>
    <row r="18" spans="1:20">
      <c r="A18" s="21" t="s">
        <v>41</v>
      </c>
      <c r="B18" s="22" t="s">
        <v>42</v>
      </c>
      <c r="C18" s="9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spans="1:20">
      <c r="A19" s="1" t="s">
        <v>0</v>
      </c>
      <c r="B19" s="1" t="s">
        <v>1</v>
      </c>
      <c r="C19" s="1" t="s">
        <v>43</v>
      </c>
      <c r="D19" s="1" t="s">
        <v>44</v>
      </c>
      <c r="E19" s="1" t="s">
        <v>4</v>
      </c>
      <c r="F19" s="1" t="s">
        <v>5</v>
      </c>
    </row>
    <row r="20" spans="1:20">
      <c r="A20" s="3">
        <v>1</v>
      </c>
      <c r="B20" s="10" t="s">
        <v>46</v>
      </c>
      <c r="C20" s="3">
        <v>10</v>
      </c>
      <c r="D20" s="15">
        <v>2</v>
      </c>
      <c r="E20" s="12">
        <v>100000</v>
      </c>
      <c r="F20" s="13">
        <f>C20*E20*D20</f>
        <v>2000000</v>
      </c>
    </row>
    <row r="21" spans="1:20">
      <c r="A21" s="3">
        <v>2</v>
      </c>
      <c r="B21" s="10" t="s">
        <v>48</v>
      </c>
      <c r="C21" s="3">
        <v>10</v>
      </c>
      <c r="D21" s="15">
        <v>13</v>
      </c>
      <c r="E21" s="12">
        <v>100000</v>
      </c>
      <c r="F21" s="13">
        <f t="shared" ref="F21" si="9">C21*D21*E21</f>
        <v>13000000</v>
      </c>
    </row>
    <row r="22" spans="1:20">
      <c r="A22" s="23">
        <v>3</v>
      </c>
      <c r="B22" s="24" t="s">
        <v>49</v>
      </c>
      <c r="C22" s="25">
        <v>10</v>
      </c>
      <c r="D22" s="26">
        <v>1</v>
      </c>
      <c r="E22" s="12">
        <v>100000</v>
      </c>
      <c r="F22" s="13">
        <f>C22*E22</f>
        <v>1000000</v>
      </c>
    </row>
    <row r="23" spans="1:20">
      <c r="A23" s="49" t="s">
        <v>50</v>
      </c>
      <c r="B23" s="50"/>
      <c r="C23" s="50"/>
      <c r="D23" s="50"/>
      <c r="E23" s="51"/>
      <c r="F23" s="20">
        <f>SUM(F20:F22)</f>
        <v>16000000</v>
      </c>
    </row>
    <row r="24" spans="1:20">
      <c r="A24" s="52" t="s">
        <v>51</v>
      </c>
      <c r="B24" s="53"/>
      <c r="C24" s="53"/>
      <c r="D24" s="53"/>
      <c r="E24" s="54"/>
      <c r="F24" s="27">
        <f>F5+F17+F23</f>
        <v>104273500</v>
      </c>
    </row>
  </sheetData>
  <mergeCells count="4">
    <mergeCell ref="A5:E5"/>
    <mergeCell ref="A17:E17"/>
    <mergeCell ref="A23:E23"/>
    <mergeCell ref="A24:E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2" workbookViewId="0">
      <selection activeCell="H8" sqref="H8"/>
    </sheetView>
  </sheetViews>
  <sheetFormatPr defaultColWidth="8.7265625" defaultRowHeight="14.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dhian</dc:creator>
  <cp:lastModifiedBy>Sub Koord Pencemaran Restorasi</cp:lastModifiedBy>
  <dcterms:created xsi:type="dcterms:W3CDTF">2023-06-21T05:16:00Z</dcterms:created>
  <dcterms:modified xsi:type="dcterms:W3CDTF">2025-09-09T07:39:55Z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B23DD709D0A74F5BA82D0F38F07772C6_12</vt:lpwstr>
  </property>
  <property fmtid="{D5CDD505-2E9C-101B-9397-08002B2CF9AE}" pid="3" name="KSOProductBuildVer">
    <vt:lpwstr>1033-12.2.0.17153</vt:lpwstr>
  </property>
</Properties>
</file>